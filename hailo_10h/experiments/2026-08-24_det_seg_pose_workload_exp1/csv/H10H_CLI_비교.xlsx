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원본_CLI_OFF" sheetId="2" state="visible" r:id="rId4"/>
    <sheet name="원본_CLI_ON" sheetId="3" state="visible" r:id="rId5"/>
    <sheet name="참고_CLI_OFF_세트A" sheetId="4" state="visible" r:id="rId6"/>
    <sheet name="조건별_비교" sheetId="5" state="visible" r:id="rId7"/>
    <sheet name="그래프_데이터" sheetId="6" state="visible" r:id="rId8"/>
    <sheet name="그래프" sheetId="7" state="visible" r:id="rId9"/>
    <sheet name="CLI전용지표" sheetId="8" state="visible" r:id="rId10"/>
    <sheet name="재현성_노이즈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<sst xmlns="http://schemas.openxmlformats.org/spreadsheetml/2006/main" count="585" uniqueCount="134">
  <si>
    <r>
      <rPr>
        <b val="true"/>
        <sz val="15"/>
        <color rgb="FF000000"/>
        <rFont val="Arial"/>
        <family val="0"/>
        <charset val="1"/>
      </rPr>
      <t xml:space="preserve">Hailo-10H 10H </t>
    </r>
    <r>
      <rPr>
        <b val="true"/>
        <sz val="15"/>
        <color rgb="FF000000"/>
        <rFont val="Noto Sans CJK SC"/>
        <family val="2"/>
      </rPr>
      <t xml:space="preserve">워크로드 실험 — </t>
    </r>
    <r>
      <rPr>
        <b val="true"/>
        <sz val="15"/>
        <color rgb="FF000000"/>
        <rFont val="Arial"/>
        <family val="0"/>
        <charset val="1"/>
      </rPr>
      <t xml:space="preserve">hailortcli </t>
    </r>
    <r>
      <rPr>
        <b val="true"/>
        <sz val="15"/>
        <color rgb="FF000000"/>
        <rFont val="Noto Sans CJK SC"/>
        <family val="2"/>
      </rPr>
      <t xml:space="preserve">계측 유무에 따른 추론 성능 비교</t>
    </r>
  </si>
  <si>
    <r>
      <rPr>
        <sz val="10"/>
        <color rgb="FF595959"/>
        <rFont val="Arial"/>
        <family val="0"/>
        <charset val="1"/>
      </rPr>
      <t xml:space="preserve">7</t>
    </r>
    <r>
      <rPr>
        <sz val="10"/>
        <color rgb="FF595959"/>
        <rFont val="Noto Sans CJK SC"/>
        <family val="2"/>
      </rPr>
      <t xml:space="preserve">개 워크로드 조합 </t>
    </r>
    <r>
      <rPr>
        <sz val="10"/>
        <color rgb="FF595959"/>
        <rFont val="Arial"/>
        <family val="0"/>
        <charset val="1"/>
      </rPr>
      <t xml:space="preserve">x 3</t>
    </r>
    <r>
      <rPr>
        <sz val="10"/>
        <color rgb="FF595959"/>
        <rFont val="Noto Sans CJK SC"/>
        <family val="2"/>
      </rPr>
      <t xml:space="preserve">회 </t>
    </r>
    <r>
      <rPr>
        <sz val="10"/>
        <color rgb="FF595959"/>
        <rFont val="Arial"/>
        <family val="0"/>
        <charset val="1"/>
      </rPr>
      <t xml:space="preserve">= 21</t>
    </r>
    <r>
      <rPr>
        <sz val="10"/>
        <color rgb="FF595959"/>
        <rFont val="Noto Sans CJK SC"/>
        <family val="2"/>
      </rPr>
      <t xml:space="preserve">런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두 실험을 공통 열에서 </t>
    </r>
    <r>
      <rPr>
        <sz val="10"/>
        <color rgb="FF595959"/>
        <rFont val="Arial"/>
        <family val="0"/>
        <charset val="1"/>
      </rPr>
      <t xml:space="preserve">1:1 </t>
    </r>
    <r>
      <rPr>
        <sz val="10"/>
        <color rgb="FF595959"/>
        <rFont val="Noto Sans CJK SC"/>
        <family val="2"/>
      </rPr>
      <t xml:space="preserve">비교</t>
    </r>
  </si>
  <si>
    <t xml:space="preserve">비교 대상</t>
  </si>
  <si>
    <r>
      <rPr>
        <b val="true"/>
        <sz val="10"/>
        <color rgb="FF000000"/>
        <rFont val="Arial"/>
        <family val="0"/>
        <charset val="1"/>
      </rPr>
      <t xml:space="preserve">A. CLI OFF (</t>
    </r>
    <r>
      <rPr>
        <b val="true"/>
        <sz val="10"/>
        <color rgb="FF000000"/>
        <rFont val="Noto Sans CJK SC"/>
        <family val="2"/>
      </rPr>
      <t xml:space="preserve">기준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</si>
  <si>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results_det_seg_pose_workload_21runs.csv — </t>
    </r>
    <r>
      <rPr>
        <sz val="10"/>
        <color rgb="FF000000"/>
        <rFont val="Noto Sans CJK SC"/>
        <family val="2"/>
      </rPr>
      <t xml:space="preserve">원본 스윕 </t>
    </r>
    <r>
      <rPr>
        <sz val="10"/>
        <color rgb="FF000000"/>
        <rFont val="Arial"/>
        <family val="0"/>
        <charset val="1"/>
      </rPr>
      <t xml:space="preserve">CSV</t>
    </r>
    <r>
      <rPr>
        <sz val="10"/>
        <color rgb="FF000000"/>
        <rFont val="Noto Sans CJK SC"/>
        <family val="2"/>
      </rPr>
      <t xml:space="preserve">의 세트 </t>
    </r>
    <r>
      <rPr>
        <sz val="10"/>
        <color rgb="FF000000"/>
        <rFont val="Arial"/>
        <family val="0"/>
        <charset val="1"/>
      </rPr>
      <t xml:space="preserve">C(38~58</t>
    </r>
    <r>
      <rPr>
        <sz val="10"/>
        <color rgb="FF000000"/>
        <rFont val="Noto Sans CJK SC"/>
        <family val="2"/>
      </rPr>
      <t xml:space="preserve">행</t>
    </r>
    <r>
      <rPr>
        <sz val="10"/>
        <color rgb="FF000000"/>
        <rFont val="Arial"/>
        <family val="0"/>
        <charset val="1"/>
      </rPr>
      <t xml:space="preserve">). HRTT </t>
    </r>
    <r>
      <rPr>
        <sz val="10"/>
        <color rgb="FF000000"/>
        <rFont val="Noto Sans CJK SC"/>
        <family val="2"/>
      </rPr>
      <t xml:space="preserve">대체 열 없음</t>
    </r>
    <r>
      <rPr>
        <sz val="10"/>
        <color rgb="FF000000"/>
        <rFont val="Arial"/>
        <family val="0"/>
        <charset val="1"/>
      </rPr>
      <t xml:space="preserve">. 2026-08-28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.</t>
    </r>
  </si>
  <si>
    <t xml:space="preserve">B. CLI ON</t>
  </si>
  <si>
    <r>
      <rPr>
        <sz val="10"/>
        <color rgb="FF000000"/>
        <rFont val="Arial"/>
        <family val="0"/>
        <charset val="1"/>
      </rPr>
      <t xml:space="preserve">results_det_seg_pose_workload_full.csv — 8L</t>
    </r>
    <r>
      <rPr>
        <sz val="10"/>
        <color rgb="FF000000"/>
        <rFont val="Noto Sans CJK SC"/>
        <family val="2"/>
      </rPr>
      <t xml:space="preserve">과 열 구성을 맞춘 확장 </t>
    </r>
    <r>
      <rPr>
        <sz val="10"/>
        <color rgb="FF000000"/>
        <rFont val="Arial"/>
        <family val="0"/>
        <charset val="1"/>
      </rPr>
      <t xml:space="preserve">CSV. npu_percent </t>
    </r>
    <r>
      <rPr>
        <sz val="10"/>
        <color rgb="FF000000"/>
        <rFont val="Noto Sans CJK SC"/>
        <family val="2"/>
      </rPr>
      <t xml:space="preserve">등을 채우려고 벤치가 </t>
    </r>
    <r>
      <rPr>
        <sz val="10"/>
        <color rgb="FF000000"/>
        <rFont val="Arial"/>
        <family val="0"/>
        <charset val="1"/>
      </rPr>
      <t xml:space="preserve">hailortcli monitor</t>
    </r>
    <r>
      <rPr>
        <sz val="10"/>
        <color rgb="FF000000"/>
        <rFont val="Noto Sans CJK SC"/>
        <family val="2"/>
      </rPr>
      <t xml:space="preserve">를 자식 프로세스로 띄움</t>
    </r>
    <r>
      <rPr>
        <sz val="10"/>
        <color rgb="FF000000"/>
        <rFont val="Arial"/>
        <family val="0"/>
        <charset val="1"/>
      </rPr>
      <t xml:space="preserve">. 2026-08-31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</si>
  <si>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참고</t>
    </r>
    <r>
      <rPr>
        <b val="true"/>
        <sz val="10"/>
        <color rgb="FF000000"/>
        <rFont val="Arial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재현성</t>
    </r>
  </si>
  <si>
    <r>
      <rPr>
        <sz val="10"/>
        <color rgb="FF000000"/>
        <rFont val="Arial"/>
        <family val="0"/>
        <charset val="1"/>
      </rPr>
      <t xml:space="preserve">results_det_seg_pose_workload_setA_21runs.csv — </t>
    </r>
    <r>
      <rPr>
        <sz val="10"/>
        <color rgb="FF000000"/>
        <rFont val="Noto Sans CJK SC"/>
        <family val="2"/>
      </rPr>
      <t xml:space="preserve">같은 </t>
    </r>
    <r>
      <rPr>
        <sz val="10"/>
        <color rgb="FF000000"/>
        <rFont val="Arial"/>
        <family val="0"/>
        <charset val="1"/>
      </rPr>
      <t xml:space="preserve">CLI OFF </t>
    </r>
    <r>
      <rPr>
        <sz val="10"/>
        <color rgb="FF000000"/>
        <rFont val="Noto Sans CJK SC"/>
        <family val="2"/>
      </rPr>
      <t xml:space="preserve">조건의 세트 </t>
    </r>
    <r>
      <rPr>
        <sz val="10"/>
        <color rgb="FF000000"/>
        <rFont val="Arial"/>
        <family val="0"/>
        <charset val="1"/>
      </rPr>
      <t xml:space="preserve">A. A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의 차이가 곧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측정 노이즈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의 크기다</t>
    </r>
    <r>
      <rPr>
        <sz val="10"/>
        <color rgb="FF000000"/>
        <rFont val="Arial"/>
        <family val="0"/>
        <charset val="1"/>
      </rPr>
      <t xml:space="preserve">.</t>
    </r>
  </si>
  <si>
    <t xml:space="preserve">비교한 공통 열</t>
  </si>
  <si>
    <t xml:space="preserve">지연시간</t>
  </si>
  <si>
    <r>
      <rPr>
        <sz val="10"/>
        <color rgb="FF000000"/>
        <rFont val="Arial"/>
        <family val="0"/>
        <charset val="1"/>
      </rPr>
      <t xml:space="preserve">CLI OFF: det/seg/pose_avg_latency_ms  &lt;-&gt;  CLI ON: det/seg/pose_latency_ms  (</t>
    </r>
    <r>
      <rPr>
        <sz val="10"/>
        <color rgb="FF000000"/>
        <rFont val="Noto Sans CJK SC"/>
        <family val="2"/>
      </rPr>
      <t xml:space="preserve">둘 다 </t>
    </r>
    <r>
      <rPr>
        <sz val="10"/>
        <color rgb="FF000000"/>
        <rFont val="Arial"/>
        <family val="0"/>
        <charset val="1"/>
      </rPr>
      <t xml:space="preserve">run_async </t>
    </r>
    <r>
      <rPr>
        <sz val="10"/>
        <color rgb="FF000000"/>
        <rFont val="Noto Sans CJK SC"/>
        <family val="2"/>
      </rPr>
      <t xml:space="preserve">제출</t>
    </r>
    <r>
      <rPr>
        <sz val="10"/>
        <color rgb="FF000000"/>
        <rFont val="Arial"/>
        <family val="0"/>
        <charset val="1"/>
      </rPr>
      <t xml:space="preserve">~wait 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전처리 제외</t>
    </r>
    <r>
      <rPr>
        <sz val="10"/>
        <color rgb="FF000000"/>
        <rFont val="Arial"/>
        <family val="0"/>
        <charset val="1"/>
      </rPr>
      <t xml:space="preserve">)</t>
    </r>
  </si>
  <si>
    <t xml:space="preserve">FPS</t>
  </si>
  <si>
    <r>
      <rPr>
        <sz val="10"/>
        <color rgb="FF000000"/>
        <rFont val="Arial"/>
        <family val="0"/>
        <charset val="1"/>
      </rPr>
      <t xml:space="preserve">CLI OFF: det/seg/pose_fps  &lt;-&gt;  CLI ON: avg_fps_det/seg/pose  (</t>
    </r>
    <r>
      <rPr>
        <sz val="10"/>
        <color rgb="FF000000"/>
        <rFont val="Noto Sans CJK SC"/>
        <family val="2"/>
      </rPr>
      <t xml:space="preserve">둘 다 프레임 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워커 전체 시간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전처리 포함</t>
    </r>
    <r>
      <rPr>
        <sz val="10"/>
        <color rgb="FF000000"/>
        <rFont val="Arial"/>
        <family val="0"/>
        <charset val="1"/>
      </rPr>
      <t xml:space="preserve">)</t>
    </r>
  </si>
  <si>
    <t xml:space="preserve">시스템</t>
  </si>
  <si>
    <r>
      <rPr>
        <sz val="10"/>
        <color rgb="FF000000"/>
        <rFont val="Arial"/>
        <family val="0"/>
        <charset val="1"/>
      </rPr>
      <t xml:space="preserve">cpu_percent, mem_percent (</t>
    </r>
    <r>
      <rPr>
        <sz val="10"/>
        <color rgb="FF000000"/>
        <rFont val="Noto Sans CJK SC"/>
        <family val="2"/>
      </rPr>
      <t xml:space="preserve">호스트 전체</t>
    </r>
    <r>
      <rPr>
        <sz val="10"/>
        <color rgb="FF000000"/>
        <rFont val="Arial"/>
        <family val="0"/>
        <charset val="1"/>
      </rPr>
      <t xml:space="preserve">, /proc/stat 300ms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Arial"/>
        <family val="0"/>
        <charset val="1"/>
      </rPr>
      <t xml:space="preserve">· /proc/meminfo)</t>
    </r>
  </si>
  <si>
    <t xml:space="preserve">프레임 수</t>
  </si>
  <si>
    <r>
      <rPr>
        <sz val="10"/>
        <color rgb="FF000000"/>
        <rFont val="Arial"/>
        <family val="0"/>
        <charset val="1"/>
      </rPr>
      <t xml:space="preserve">det/seg/pose_frame_count — </t>
    </r>
    <r>
      <rPr>
        <sz val="10"/>
        <color rgb="FF000000"/>
        <rFont val="Noto Sans CJK SC"/>
        <family val="2"/>
      </rPr>
      <t xml:space="preserve">양쪽 모두 </t>
    </r>
    <r>
      <rPr>
        <sz val="10"/>
        <color rgb="FF000000"/>
        <rFont val="Arial"/>
        <family val="0"/>
        <charset val="1"/>
      </rPr>
      <t xml:space="preserve">673</t>
    </r>
    <r>
      <rPr>
        <sz val="10"/>
        <color rgb="FF000000"/>
        <rFont val="Noto Sans CJK SC"/>
        <family val="2"/>
      </rPr>
      <t xml:space="preserve">으로 동일하므로 차이 계산에서 제외</t>
    </r>
  </si>
  <si>
    <t xml:space="preserve">비교 제외</t>
  </si>
  <si>
    <r>
      <rPr>
        <sz val="10"/>
        <color rgb="FF000000"/>
        <rFont val="Arial"/>
        <family val="0"/>
        <charset val="1"/>
      </rPr>
      <t xml:space="preserve">batch/threshold/priority/timeout(</t>
    </r>
    <r>
      <rPr>
        <sz val="10"/>
        <color rgb="FF000000"/>
        <rFont val="Noto Sans CJK SC"/>
        <family val="2"/>
      </rPr>
      <t xml:space="preserve">설정값</t>
    </r>
    <r>
      <rPr>
        <sz val="10"/>
        <color rgb="FF000000"/>
        <rFont val="Arial"/>
        <family val="0"/>
        <charset val="1"/>
      </rPr>
      <t xml:space="preserve">), npu_percent·ctx_switches·max_latency·preprocess·total_time (CLI ON </t>
    </r>
    <r>
      <rPr>
        <sz val="10"/>
        <color rgb="FF000000"/>
        <rFont val="Noto Sans CJK SC"/>
        <family val="2"/>
      </rPr>
      <t xml:space="preserve">쪽에만 존재</t>
    </r>
    <r>
      <rPr>
        <sz val="10"/>
        <color rgb="FF000000"/>
        <rFont val="Arial"/>
        <family val="0"/>
        <charset val="1"/>
      </rPr>
      <t xml:space="preserve">) → "CLI</t>
    </r>
    <r>
      <rPr>
        <sz val="10"/>
        <color rgb="FF000000"/>
        <rFont val="Noto Sans CJK SC"/>
        <family val="2"/>
      </rPr>
      <t xml:space="preserve">전용지표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시트에 참고로 수록</t>
    </r>
  </si>
  <si>
    <t xml:space="preserve">계산 방법</t>
  </si>
  <si>
    <r>
      <rPr>
        <b val="true"/>
        <sz val="10"/>
        <color rgb="FF000000"/>
        <rFont val="Noto Sans CJK SC"/>
        <family val="2"/>
      </rPr>
      <t xml:space="preserve">평균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표준편차</t>
    </r>
  </si>
  <si>
    <r>
      <rPr>
        <sz val="10"/>
        <color rgb="FF000000"/>
        <rFont val="Noto Sans CJK SC"/>
        <family val="2"/>
      </rPr>
      <t xml:space="preserve">조건별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런에 대한 </t>
    </r>
    <r>
      <rPr>
        <sz val="10"/>
        <color rgb="FF000000"/>
        <rFont val="Arial"/>
        <family val="0"/>
        <charset val="1"/>
      </rPr>
      <t xml:space="preserve">AVERAGE / STDEV. </t>
    </r>
    <r>
      <rPr>
        <sz val="10"/>
        <color rgb="FF000000"/>
        <rFont val="Noto Sans CJK SC"/>
        <family val="2"/>
      </rPr>
      <t xml:space="preserve">모든 셀이 원본 시트를 참조하는 수식이며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하드코딩된 값이 아니다</t>
    </r>
    <r>
      <rPr>
        <sz val="10"/>
        <color rgb="FF000000"/>
        <rFont val="Arial"/>
        <family val="0"/>
        <charset val="1"/>
      </rPr>
      <t xml:space="preserve">.</t>
    </r>
  </si>
  <si>
    <t xml:space="preserve">차이</t>
  </si>
  <si>
    <r>
      <rPr>
        <sz val="10"/>
        <color rgb="FF000000"/>
        <rFont val="Arial"/>
        <family val="0"/>
        <charset val="1"/>
      </rPr>
      <t xml:space="preserve">CLI ON </t>
    </r>
    <r>
      <rPr>
        <sz val="10"/>
        <color rgb="FF000000"/>
        <rFont val="Noto Sans CJK SC"/>
        <family val="2"/>
      </rPr>
      <t xml:space="preserve">평균 </t>
    </r>
    <r>
      <rPr>
        <sz val="10"/>
        <color rgb="FF000000"/>
        <rFont val="Arial"/>
        <family val="0"/>
        <charset val="1"/>
      </rPr>
      <t xml:space="preserve">- CLI OFF </t>
    </r>
    <r>
      <rPr>
        <sz val="10"/>
        <color rgb="FF000000"/>
        <rFont val="Noto Sans CJK SC"/>
        <family val="2"/>
      </rPr>
      <t xml:space="preserve">평균</t>
    </r>
  </si>
  <si>
    <r>
      <rPr>
        <b val="true"/>
        <sz val="10"/>
        <color rgb="FF000000"/>
        <rFont val="Noto Sans CJK SC"/>
        <family val="2"/>
      </rPr>
      <t xml:space="preserve">차이율</t>
    </r>
    <r>
      <rPr>
        <b val="true"/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</si>
  <si>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Arial"/>
        <family val="0"/>
        <charset val="1"/>
      </rPr>
      <t xml:space="preserve">(CLI ON </t>
    </r>
    <r>
      <rPr>
        <sz val="10"/>
        <color rgb="FF000000"/>
        <rFont val="Noto Sans CJK SC"/>
        <family val="2"/>
      </rPr>
      <t xml:space="preserve">평균 </t>
    </r>
    <r>
      <rPr>
        <sz val="10"/>
        <color rgb="FF000000"/>
        <rFont val="Arial"/>
        <family val="0"/>
        <charset val="1"/>
      </rPr>
      <t xml:space="preserve">- CLI OFF </t>
    </r>
    <r>
      <rPr>
        <sz val="10"/>
        <color rgb="FF000000"/>
        <rFont val="Noto Sans CJK SC"/>
        <family val="2"/>
      </rPr>
      <t xml:space="preserve">평균</t>
    </r>
    <r>
      <rPr>
        <sz val="10"/>
        <color rgb="FF000000"/>
        <rFont val="Arial"/>
        <family val="0"/>
        <charset val="1"/>
      </rPr>
      <t xml:space="preserve">) / CLI OFF </t>
    </r>
    <r>
      <rPr>
        <sz val="10"/>
        <color rgb="FF000000"/>
        <rFont val="Noto Sans CJK SC"/>
        <family val="2"/>
      </rPr>
      <t xml:space="preserve">평균</t>
    </r>
    <r>
      <rPr>
        <sz val="10"/>
        <color rgb="FF000000"/>
        <rFont val="Arial"/>
        <family val="0"/>
        <charset val="1"/>
      </rPr>
      <t xml:space="preserve">.  </t>
    </r>
    <r>
      <rPr>
        <sz val="10"/>
        <color rgb="FF000000"/>
        <rFont val="Noto Sans CJK SC"/>
        <family val="2"/>
      </rPr>
      <t xml:space="preserve">지연시간은 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가 느려짐</t>
    </r>
    <r>
      <rPr>
        <sz val="10"/>
        <color rgb="FF000000"/>
        <rFont val="Arial"/>
        <family val="0"/>
        <charset val="1"/>
      </rPr>
      <t xml:space="preserve">, FPS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가 빨라짐을 뜻한다</t>
    </r>
    <r>
      <rPr>
        <sz val="10"/>
        <color rgb="FF000000"/>
        <rFont val="Arial"/>
        <family val="0"/>
        <charset val="1"/>
      </rPr>
      <t xml:space="preserve">.</t>
    </r>
  </si>
  <si>
    <t xml:space="preserve">노이즈 판정</t>
  </si>
  <si>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차이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가 두 실험의 표준편차 합보다 크면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노이즈 초과</t>
    </r>
    <r>
      <rPr>
        <sz val="10"/>
        <color rgb="FF000000"/>
        <rFont val="Arial"/>
        <family val="0"/>
        <charset val="1"/>
      </rPr>
      <t xml:space="preserve">", </t>
    </r>
    <r>
      <rPr>
        <sz val="10"/>
        <color rgb="FF000000"/>
        <rFont val="Noto Sans CJK SC"/>
        <family val="2"/>
      </rPr>
      <t xml:space="preserve">아니면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노이즈 수준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으로 표기</t>
    </r>
  </si>
  <si>
    <r>
      <rPr>
        <b val="true"/>
        <sz val="12"/>
        <color rgb="FF1F3864"/>
        <rFont val="Arial"/>
        <family val="0"/>
        <charset val="1"/>
      </rPr>
      <t xml:space="preserve">!! </t>
    </r>
    <r>
      <rPr>
        <b val="true"/>
        <sz val="12"/>
        <color rgb="FF1F3864"/>
        <rFont val="Noto Sans CJK SC"/>
        <family val="2"/>
      </rPr>
      <t xml:space="preserve">해석 시 주의</t>
    </r>
  </si>
  <si>
    <r>
      <rPr>
        <b val="true"/>
        <sz val="10"/>
        <color rgb="FF000000"/>
        <rFont val="Noto Sans CJK SC"/>
        <family val="2"/>
      </rPr>
      <t xml:space="preserve">교란 요인 </t>
    </r>
    <r>
      <rPr>
        <b val="true"/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</si>
  <si>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CLI ON </t>
    </r>
    <r>
      <rPr>
        <sz val="10"/>
        <color rgb="FF000000"/>
        <rFont val="Noto Sans CJK SC"/>
        <family val="2"/>
      </rPr>
      <t xml:space="preserve">실험</t>
    </r>
    <r>
      <rPr>
        <sz val="10"/>
        <color rgb="FF000000"/>
        <rFont val="Arial"/>
        <family val="0"/>
        <charset val="1"/>
      </rPr>
      <t xml:space="preserve">(2026-08-31)</t>
    </r>
    <r>
      <rPr>
        <sz val="10"/>
        <color rgb="FF000000"/>
        <rFont val="Noto Sans CJK SC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hailortcli monitor</t>
    </r>
    <r>
      <rPr>
        <sz val="10"/>
        <color rgb="FF000000"/>
        <rFont val="Noto Sans CJK SC"/>
        <family val="2"/>
      </rPr>
      <t xml:space="preserve">만 켠 것이 아니라 </t>
    </r>
    <r>
      <rPr>
        <sz val="10"/>
        <color rgb="FF000000"/>
        <rFont val="Arial"/>
        <family val="0"/>
        <charset val="1"/>
      </rPr>
      <t xml:space="preserve">host_trace </t>
    </r>
    <r>
      <rPr>
        <sz val="10"/>
        <color rgb="FF000000"/>
        <rFont val="Noto Sans CJK SC"/>
        <family val="2"/>
      </rPr>
      <t xml:space="preserve">타임라인 수집</t>
    </r>
    <r>
      <rPr>
        <sz val="10"/>
        <color rgb="FF000000"/>
        <rFont val="Arial"/>
        <family val="0"/>
        <charset val="1"/>
      </rPr>
      <t xml:space="preserve">(--trace_dir traces)</t>
    </r>
    <r>
      <rPr>
        <sz val="10"/>
        <color rgb="FF000000"/>
        <rFont val="Noto Sans CJK SC"/>
        <family val="2"/>
      </rPr>
      <t xml:space="preserve">도 함께 켜져 있었다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따라서 여기서 나오는 차이는 </t>
    </r>
    <r>
      <rPr>
        <sz val="10"/>
        <color rgb="FF000000"/>
        <rFont val="Arial"/>
        <family val="0"/>
        <charset val="1"/>
      </rPr>
      <t xml:space="preserve">"hailortcli </t>
    </r>
    <r>
      <rPr>
        <sz val="10"/>
        <color rgb="FF000000"/>
        <rFont val="Noto Sans CJK SC"/>
        <family val="2"/>
      </rPr>
      <t xml:space="preserve">단독 효과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가 아니라 </t>
    </r>
    <r>
      <rPr>
        <sz val="10"/>
        <color rgb="FF000000"/>
        <rFont val="Arial"/>
        <family val="0"/>
        <charset val="1"/>
      </rPr>
      <t xml:space="preserve">"hailortcli monitor + </t>
    </r>
    <r>
      <rPr>
        <sz val="10"/>
        <color rgb="FF000000"/>
        <rFont val="Noto Sans CJK SC"/>
        <family val="2"/>
      </rPr>
      <t xml:space="preserve">타임라인 계측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의 합이다</t>
    </r>
    <r>
      <rPr>
        <sz val="10"/>
        <color rgb="FF000000"/>
        <rFont val="Arial"/>
        <family val="0"/>
        <charset val="1"/>
      </rPr>
      <t xml:space="preserve">. CLI</t>
    </r>
    <r>
      <rPr>
        <sz val="10"/>
        <color rgb="FF000000"/>
        <rFont val="Noto Sans CJK SC"/>
        <family val="2"/>
      </rPr>
      <t xml:space="preserve">만의 효과를 분리하려면 </t>
    </r>
    <r>
      <rPr>
        <sz val="10"/>
        <color rgb="FF000000"/>
        <rFont val="Arial"/>
        <family val="0"/>
        <charset val="1"/>
      </rPr>
      <t xml:space="preserve">--no_npu_monitor </t>
    </r>
    <r>
      <rPr>
        <sz val="10"/>
        <color rgb="FF000000"/>
        <rFont val="Noto Sans CJK SC"/>
        <family val="2"/>
      </rPr>
      <t xml:space="preserve">로 타임라인만 켠 런이 한 세트 더 필요하다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</si>
  <si>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교란 요인 </t>
    </r>
    <r>
      <rPr>
        <b val="true"/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</si>
  <si>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두 실험은 같은 날이 아니다</t>
    </r>
    <r>
      <rPr>
        <sz val="10"/>
        <color rgb="FF000000"/>
        <rFont val="Arial"/>
        <family val="0"/>
        <charset val="1"/>
      </rPr>
      <t xml:space="preserve">(08-28 vs 08-31). </t>
    </r>
    <r>
      <rPr>
        <sz val="10"/>
        <color rgb="FF000000"/>
        <rFont val="Noto Sans CJK SC"/>
        <family val="2"/>
      </rPr>
      <t xml:space="preserve">그 사이 벤치 바이너리도 갱신되었다</t>
    </r>
    <r>
      <rPr>
        <sz val="10"/>
        <color rgb="FF000000"/>
        <rFont val="Arial"/>
        <family val="0"/>
        <charset val="1"/>
      </rPr>
      <t xml:space="preserve">(src/hailo10h_sched_bench.cpp 08-31 </t>
    </r>
    <r>
      <rPr>
        <sz val="10"/>
        <color rgb="FF000000"/>
        <rFont val="Noto Sans CJK SC"/>
        <family val="2"/>
      </rPr>
      <t xml:space="preserve">수정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열 정의는 문서상 동일하지만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재빌드 자체의 영향은 배제되지 않는다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</si>
  <si>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교란 요인 </t>
    </r>
    <r>
      <rPr>
        <b val="true"/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</si>
  <si>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mem_percent</t>
    </r>
    <r>
      <rPr>
        <sz val="10"/>
        <color rgb="FF000000"/>
        <rFont val="Noto Sans CJK SC"/>
        <family val="2"/>
      </rPr>
      <t xml:space="preserve">는 호스트 전체 사용률이라 벤치와 무관한 백그라운드 변동을 포함한다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세트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와 세트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사이에서도 이미 </t>
    </r>
    <r>
      <rPr>
        <sz val="10"/>
        <color rgb="FF000000"/>
        <rFont val="Arial"/>
        <family val="0"/>
        <charset val="1"/>
      </rPr>
      <t xml:space="preserve">1.5%p </t>
    </r>
    <r>
      <rPr>
        <sz val="10"/>
        <color rgb="FF000000"/>
        <rFont val="Noto Sans CJK SC"/>
        <family val="2"/>
      </rPr>
      <t xml:space="preserve">이상 벌어진다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재현성 시트 참고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차이율을 성능 지표처럼 읽지 말 것</t>
    </r>
    <r>
      <rPr>
        <sz val="10"/>
        <color rgb="FF000000"/>
        <rFont val="Arial"/>
        <family val="0"/>
        <charset val="1"/>
      </rPr>
      <t xml:space="preserve">.</t>
    </r>
  </si>
  <si>
    <t xml:space="preserve">표본 수</t>
  </si>
  <si>
    <r>
      <rPr>
        <sz val="10"/>
        <color rgb="FF000000"/>
        <rFont val="Noto Sans CJK SC"/>
        <family val="2"/>
      </rPr>
      <t xml:space="preserve">조건당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런뿐이다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표준편차는 참고용이며 통계적 검정을 대신하지 않는다</t>
    </r>
    <r>
      <rPr>
        <sz val="10"/>
        <color rgb="FF000000"/>
        <rFont val="Arial"/>
        <family val="0"/>
        <charset val="1"/>
      </rPr>
      <t xml:space="preserve">.</t>
    </r>
  </si>
  <si>
    <t xml:space="preserve">출처 폴더</t>
  </si>
  <si>
    <t xml:space="preserve">C:\Users\sset0\jungmin-claude\StudentExperiment\NPUscheduler\hailo_10h\experiments\2026-08-24_det_seg_pose_workload_exp1\csv</t>
  </si>
  <si>
    <t xml:space="preserve">label</t>
  </si>
  <si>
    <t xml:space="preserve">run_id</t>
  </si>
  <si>
    <t xml:space="preserve">use_det</t>
  </si>
  <si>
    <t xml:space="preserve">use_seg</t>
  </si>
  <si>
    <t xml:space="preserve">use_pose</t>
  </si>
  <si>
    <t xml:space="preserve">det_frame_count</t>
  </si>
  <si>
    <t xml:space="preserve">det_latency_ms</t>
  </si>
  <si>
    <t xml:space="preserve">det_fps</t>
  </si>
  <si>
    <t xml:space="preserve">seg_frame_count</t>
  </si>
  <si>
    <t xml:space="preserve">seg_latency_ms</t>
  </si>
  <si>
    <t xml:space="preserve">seg_fps</t>
  </si>
  <si>
    <t xml:space="preserve">pose_frame_count</t>
  </si>
  <si>
    <t xml:space="preserve">pose_latency_ms</t>
  </si>
  <si>
    <t xml:space="preserve">pose_fps</t>
  </si>
  <si>
    <t xml:space="preserve">cpu_percent</t>
  </si>
  <si>
    <t xml:space="preserve">mem_percent</t>
  </si>
  <si>
    <t xml:space="preserve">det</t>
  </si>
  <si>
    <t xml:space="preserve">seg</t>
  </si>
  <si>
    <t xml:space="preserve">pose</t>
  </si>
  <si>
    <t xml:space="preserve">det_seg</t>
  </si>
  <si>
    <t xml:space="preserve">det_pose</t>
  </si>
  <si>
    <t xml:space="preserve">seg_pose</t>
  </si>
  <si>
    <t xml:space="preserve">det_seg_pose</t>
  </si>
  <si>
    <t xml:space="preserve">npu_percent</t>
  </si>
  <si>
    <t xml:space="preserve">run_time_s</t>
  </si>
  <si>
    <t xml:space="preserve">voluntary_ctx_switches</t>
  </si>
  <si>
    <t xml:space="preserve">nonvoluntary_ctx_switches</t>
  </si>
  <si>
    <t xml:space="preserve">max_latency_det</t>
  </si>
  <si>
    <t xml:space="preserve">max_latency_seg</t>
  </si>
  <si>
    <t xml:space="preserve">max_latency_pose</t>
  </si>
  <si>
    <t xml:space="preserve">avg_preprocess_ms_det</t>
  </si>
  <si>
    <t xml:space="preserve">avg_preprocess_ms_seg</t>
  </si>
  <si>
    <t xml:space="preserve">avg_preprocess_ms_pose</t>
  </si>
  <si>
    <t xml:space="preserve">total_time_ms_nopp_det</t>
  </si>
  <si>
    <t xml:space="preserve">total_time_ms_nopp_seg</t>
  </si>
  <si>
    <t xml:space="preserve">total_time_ms_nopp_pose</t>
  </si>
  <si>
    <r>
      <rPr>
        <b val="true"/>
        <sz val="14"/>
        <color rgb="FF1F3864"/>
        <rFont val="Noto Sans CJK SC"/>
        <family val="2"/>
      </rPr>
      <t xml:space="preserve">조건별 평균 비교 — </t>
    </r>
    <r>
      <rPr>
        <b val="true"/>
        <sz val="14"/>
        <color rgb="FF1F3864"/>
        <rFont val="Arial"/>
        <family val="0"/>
        <charset val="1"/>
      </rPr>
      <t xml:space="preserve">CLI OFF(</t>
    </r>
    <r>
      <rPr>
        <b val="true"/>
        <sz val="14"/>
        <color rgb="FF1F3864"/>
        <rFont val="Noto Sans CJK SC"/>
        <family val="2"/>
      </rPr>
      <t xml:space="preserve">기준</t>
    </r>
    <r>
      <rPr>
        <b val="true"/>
        <sz val="14"/>
        <color rgb="FF1F3864"/>
        <rFont val="Arial"/>
        <family val="0"/>
        <charset val="1"/>
      </rPr>
      <t xml:space="preserve">) vs CLI ON</t>
    </r>
  </si>
  <si>
    <r>
      <rPr>
        <sz val="9"/>
        <color rgb="FF595959"/>
        <rFont val="Noto Sans CJK SC"/>
        <family val="2"/>
      </rPr>
      <t xml:space="preserve">차이율</t>
    </r>
    <r>
      <rPr>
        <sz val="9"/>
        <color rgb="FF595959"/>
        <rFont val="Arial"/>
        <family val="0"/>
        <charset val="1"/>
      </rPr>
      <t xml:space="preserve">(%) = (CLI ON - CLI OFF) / CLI OFF.  </t>
    </r>
    <r>
      <rPr>
        <sz val="9"/>
        <color rgb="FF595959"/>
        <rFont val="Noto Sans CJK SC"/>
        <family val="2"/>
      </rPr>
      <t xml:space="preserve">지연시간</t>
    </r>
    <r>
      <rPr>
        <sz val="9"/>
        <color rgb="FF595959"/>
        <rFont val="Arial"/>
        <family val="0"/>
        <charset val="1"/>
      </rPr>
      <t xml:space="preserve">·CPU·MEM</t>
    </r>
    <r>
      <rPr>
        <sz val="9"/>
        <color rgb="FF595959"/>
        <rFont val="Noto Sans CJK SC"/>
        <family val="2"/>
      </rPr>
      <t xml:space="preserve">은 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가 증가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악화</t>
    </r>
    <r>
      <rPr>
        <sz val="9"/>
        <color rgb="FF595959"/>
        <rFont val="Arial"/>
        <family val="0"/>
        <charset val="1"/>
      </rPr>
      <t xml:space="preserve">), FPS</t>
    </r>
    <r>
      <rPr>
        <sz val="9"/>
        <color rgb="FF595959"/>
        <rFont val="Noto Sans CJK SC"/>
        <family val="2"/>
      </rPr>
      <t xml:space="preserve">는 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가 증가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개선</t>
    </r>
    <r>
      <rPr>
        <sz val="9"/>
        <color rgb="FF595959"/>
        <rFont val="Arial"/>
        <family val="0"/>
        <charset val="1"/>
      </rPr>
      <t xml:space="preserve">).  n=3</t>
    </r>
    <r>
      <rPr>
        <sz val="9"/>
        <color rgb="FF595959"/>
        <rFont val="Noto Sans CJK SC"/>
        <family val="2"/>
      </rPr>
      <t xml:space="preserve">런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조건</t>
    </r>
    <r>
      <rPr>
        <sz val="9"/>
        <color rgb="FF595959"/>
        <rFont val="Arial"/>
        <family val="0"/>
        <charset val="1"/>
      </rPr>
      <t xml:space="preserve">.</t>
    </r>
  </si>
  <si>
    <t xml:space="preserve">조건</t>
  </si>
  <si>
    <t xml:space="preserve">지표</t>
  </si>
  <si>
    <t xml:space="preserve">모델</t>
  </si>
  <si>
    <r>
      <rPr>
        <b val="true"/>
        <sz val="10"/>
        <color rgb="FFFFFFFF"/>
        <rFont val="Noto Sans CJK SC"/>
        <family val="2"/>
      </rPr>
      <t xml:space="preserve">원본 열 </t>
    </r>
    <r>
      <rPr>
        <b val="true"/>
        <sz val="10"/>
        <color rgb="FFFFFFFF"/>
        <rFont val="Arial"/>
        <family val="0"/>
        <charset val="1"/>
      </rPr>
      <t xml:space="preserve">(CLI OFF)</t>
    </r>
  </si>
  <si>
    <r>
      <rPr>
        <b val="true"/>
        <sz val="10"/>
        <color rgb="FFFFFFFF"/>
        <rFont val="Noto Sans CJK SC"/>
        <family val="2"/>
      </rPr>
      <t xml:space="preserve">원본 열 </t>
    </r>
    <r>
      <rPr>
        <b val="true"/>
        <sz val="10"/>
        <color rgb="FFFFFFFF"/>
        <rFont val="Arial"/>
        <family val="0"/>
        <charset val="1"/>
      </rPr>
      <t xml:space="preserve">(CLI ON)</t>
    </r>
  </si>
  <si>
    <r>
      <rPr>
        <b val="true"/>
        <sz val="10"/>
        <color rgb="FFFFFFFF"/>
        <rFont val="Arial"/>
        <family val="0"/>
        <charset val="1"/>
      </rPr>
      <t xml:space="preserve">CLI OFF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</si>
  <si>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CLI OFF </t>
    </r>
    <r>
      <rPr>
        <b val="true"/>
        <sz val="10"/>
        <color rgb="FFFFFFFF"/>
        <rFont val="Noto Sans CJK SC"/>
        <family val="2"/>
      </rPr>
      <t xml:space="preserve">표준편차</t>
    </r>
  </si>
  <si>
    <r>
      <rPr>
        <b val="true"/>
        <sz val="10"/>
        <color rgb="FFFFFFFF"/>
        <rFont val="Arial"/>
        <family val="0"/>
        <charset val="1"/>
      </rPr>
      <t xml:space="preserve">CLI ON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</si>
  <si>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CLI ON </t>
    </r>
    <r>
      <rPr>
        <b val="true"/>
        <sz val="10"/>
        <color rgb="FFFFFFFF"/>
        <rFont val="Noto Sans CJK SC"/>
        <family val="2"/>
      </rPr>
      <t xml:space="preserve">표준편차</t>
    </r>
  </si>
  <si>
    <r>
      <rPr>
        <b val="true"/>
        <sz val="10"/>
        <color rgb="FFFFFFFF"/>
        <rFont val="Noto Sans CJK SC"/>
        <family val="2"/>
      </rPr>
      <t xml:space="preserve">차이 </t>
    </r>
    <r>
      <rPr>
        <b val="true"/>
        <sz val="10"/>
        <color rgb="FFFFFFFF"/>
        <rFont val="Arial"/>
        <family val="0"/>
        <charset val="1"/>
      </rPr>
      <t xml:space="preserve">(ON-OFF)</t>
    </r>
  </si>
  <si>
    <r>
      <rPr>
        <b val="true"/>
        <sz val="10"/>
        <color rgb="FFFFFFFF"/>
        <rFont val="Noto Sans CJK SC"/>
        <family val="2"/>
      </rPr>
      <t xml:space="preserve">차이율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</si>
  <si>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</rPr>
      <t xml:space="preserve">지연시간</t>
    </r>
    <r>
      <rPr>
        <sz val="10"/>
        <color rgb="FF000000"/>
        <rFont val="Arial"/>
        <family val="0"/>
        <charset val="1"/>
      </rPr>
      <t xml:space="preserve">(ms)</t>
    </r>
  </si>
  <si>
    <t xml:space="preserve">det_avg_latency_ms</t>
  </si>
  <si>
    <t xml:space="preserve">avg_fps_det</t>
  </si>
  <si>
    <t xml:space="preserve">CPU(%)</t>
  </si>
  <si>
    <t xml:space="preserve">-</t>
  </si>
  <si>
    <t xml:space="preserve">MEM(%)</t>
  </si>
  <si>
    <t xml:space="preserve">seg_avg_latency_ms</t>
  </si>
  <si>
    <t xml:space="preserve">avg_fps_seg</t>
  </si>
  <si>
    <t xml:space="preserve">pose_avg_latency_ms</t>
  </si>
  <si>
    <t xml:space="preserve">avg_fps_pose</t>
  </si>
  <si>
    <r>
      <rPr>
        <b val="true"/>
        <sz val="11"/>
        <color rgb="FF1F3864"/>
        <rFont val="Noto Sans CJK SC"/>
        <family val="2"/>
      </rPr>
      <t xml:space="preserve">전체 요약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지표별 차이율 평균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</si>
  <si>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차이율 평균</t>
  </si>
  <si>
    <t xml:space="preserve">차이율 최소</t>
  </si>
  <si>
    <t xml:space="preserve">차이율 최대</t>
  </si>
  <si>
    <r>
      <rPr>
        <b val="true"/>
        <sz val="10"/>
        <color rgb="FFFFFFFF"/>
        <rFont val="Arial"/>
        <family val="0"/>
        <charset val="1"/>
      </rPr>
      <t xml:space="preserve">"</t>
    </r>
    <r>
      <rPr>
        <b val="true"/>
        <sz val="10"/>
        <color rgb="FFFFFFFF"/>
        <rFont val="Noto Sans CJK SC"/>
        <family val="2"/>
      </rPr>
      <t xml:space="preserve">노이즈 초과</t>
    </r>
    <r>
      <rPr>
        <b val="true"/>
        <sz val="10"/>
        <color rgb="FFFFFFFF"/>
        <rFont val="Arial"/>
        <family val="0"/>
        <charset val="1"/>
      </rPr>
      <t xml:space="preserve">" </t>
    </r>
    <r>
      <rPr>
        <b val="true"/>
        <sz val="10"/>
        <color rgb="FFFFFFFF"/>
        <rFont val="Noto Sans CJK SC"/>
        <family val="2"/>
      </rPr>
      <t xml:space="preserve">건수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전체</t>
    </r>
  </si>
  <si>
    <r>
      <rPr>
        <sz val="10"/>
        <rFont val="Noto Sans CJK SC"/>
        <family val="2"/>
      </rPr>
      <t xml:space="preserve">지연시간</t>
    </r>
    <r>
      <rPr>
        <sz val="10"/>
        <rFont val="Arial"/>
        <family val="0"/>
        <charset val="1"/>
      </rPr>
      <t xml:space="preserve">(ms)</t>
    </r>
  </si>
  <si>
    <r>
      <rPr>
        <b val="true"/>
        <sz val="9"/>
        <color rgb="FFC00000"/>
        <rFont val="Noto Sans CJK SC"/>
        <family val="2"/>
      </rPr>
      <t xml:space="preserve">주의</t>
    </r>
    <r>
      <rPr>
        <b val="true"/>
        <sz val="9"/>
        <color rgb="FFC00000"/>
        <rFont val="Arial"/>
        <family val="0"/>
        <charset val="1"/>
      </rPr>
      <t xml:space="preserve">: CLI ON </t>
    </r>
    <r>
      <rPr>
        <b val="true"/>
        <sz val="9"/>
        <color rgb="FFC00000"/>
        <rFont val="Noto Sans CJK SC"/>
        <family val="2"/>
      </rPr>
      <t xml:space="preserve">실험에는 </t>
    </r>
    <r>
      <rPr>
        <b val="true"/>
        <sz val="9"/>
        <color rgb="FFC00000"/>
        <rFont val="Arial"/>
        <family val="0"/>
        <charset val="1"/>
      </rPr>
      <t xml:space="preserve">hailortcli monitor </t>
    </r>
    <r>
      <rPr>
        <b val="true"/>
        <sz val="9"/>
        <color rgb="FFC00000"/>
        <rFont val="Noto Sans CJK SC"/>
        <family val="2"/>
      </rPr>
      <t xml:space="preserve">외에 </t>
    </r>
    <r>
      <rPr>
        <b val="true"/>
        <sz val="9"/>
        <color rgb="FFC00000"/>
        <rFont val="Arial"/>
        <family val="0"/>
        <charset val="1"/>
      </rPr>
      <t xml:space="preserve">host_trace </t>
    </r>
    <r>
      <rPr>
        <b val="true"/>
        <sz val="9"/>
        <color rgb="FFC00000"/>
        <rFont val="Noto Sans CJK SC"/>
        <family val="2"/>
      </rPr>
      <t xml:space="preserve">타임라인 수집도 함께 켜져 있었다</t>
    </r>
    <r>
      <rPr>
        <b val="true"/>
        <sz val="9"/>
        <color rgb="FFC00000"/>
        <rFont val="Arial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위 차이는 두 계측의 합이며 </t>
    </r>
    <r>
      <rPr>
        <b val="true"/>
        <sz val="9"/>
        <color rgb="FFC00000"/>
        <rFont val="Arial"/>
        <family val="0"/>
        <charset val="1"/>
      </rPr>
      <t xml:space="preserve">hailortcli </t>
    </r>
    <r>
      <rPr>
        <b val="true"/>
        <sz val="9"/>
        <color rgb="FFC00000"/>
        <rFont val="Noto Sans CJK SC"/>
        <family val="2"/>
      </rPr>
      <t xml:space="preserve">단독 효과가 아니다</t>
    </r>
    <r>
      <rPr>
        <b val="true"/>
        <sz val="9"/>
        <color rgb="FFC00000"/>
        <rFont val="Arial"/>
        <family val="0"/>
        <charset val="1"/>
      </rPr>
      <t xml:space="preserve">. </t>
    </r>
    <r>
      <rPr>
        <b val="true"/>
        <sz val="9"/>
        <color rgb="FFC00000"/>
        <rFont val="Noto Sans CJK SC"/>
        <family val="2"/>
      </rPr>
      <t xml:space="preserve">자세한 내용은 </t>
    </r>
    <r>
      <rPr>
        <b val="true"/>
        <sz val="9"/>
        <color rgb="FFC00000"/>
        <rFont val="Arial"/>
        <family val="0"/>
        <charset val="1"/>
      </rPr>
      <t xml:space="preserve">README </t>
    </r>
    <r>
      <rPr>
        <b val="true"/>
        <sz val="9"/>
        <color rgb="FFC00000"/>
        <rFont val="Noto Sans CJK SC"/>
        <family val="2"/>
      </rPr>
      <t xml:space="preserve">시트 참고</t>
    </r>
    <r>
      <rPr>
        <b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</si>
  <si>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2"/>
        <color rgb="FF1F3864"/>
        <rFont val="Noto Sans CJK SC"/>
        <family val="2"/>
      </rPr>
      <t xml:space="preserve">평균 지연시간 </t>
    </r>
    <r>
      <rPr>
        <b val="true"/>
        <sz val="12"/>
        <color rgb="FF1F3864"/>
        <rFont val="Arial"/>
        <family val="0"/>
        <charset val="1"/>
      </rPr>
      <t xml:space="preserve">(ms)</t>
    </r>
  </si>
  <si>
    <t xml:space="preserve">구분</t>
  </si>
  <si>
    <t xml:space="preserve">CLI OFF</t>
  </si>
  <si>
    <t xml:space="preserve">CLI ON</t>
  </si>
  <si>
    <t xml:space="preserve">det [det]</t>
  </si>
  <si>
    <t xml:space="preserve">seg [seg]</t>
  </si>
  <si>
    <t xml:space="preserve">pose [pose]</t>
  </si>
  <si>
    <t xml:space="preserve">det_seg [det]</t>
  </si>
  <si>
    <t xml:space="preserve">det_seg [seg]</t>
  </si>
  <si>
    <t xml:space="preserve">det_pose [det]</t>
  </si>
  <si>
    <t xml:space="preserve">det_pose [pose]</t>
  </si>
  <si>
    <t xml:space="preserve">seg_pose [seg]</t>
  </si>
  <si>
    <t xml:space="preserve">seg_pose [pose]</t>
  </si>
  <si>
    <t xml:space="preserve">det_seg_pose [det]</t>
  </si>
  <si>
    <t xml:space="preserve">det_seg_pose [seg]</t>
  </si>
  <si>
    <t xml:space="preserve">det_seg_pose [pose]</t>
  </si>
  <si>
    <r>
      <rPr>
        <b val="true"/>
        <sz val="12"/>
        <color rgb="FF1F3864"/>
        <rFont val="Noto Sans CJK SC"/>
        <family val="2"/>
      </rPr>
      <t xml:space="preserve">평균 </t>
    </r>
    <r>
      <rPr>
        <b val="true"/>
        <sz val="12"/>
        <color rgb="FF1F3864"/>
        <rFont val="Arial"/>
        <family val="0"/>
        <charset val="1"/>
      </rPr>
      <t xml:space="preserve">FPS</t>
    </r>
  </si>
  <si>
    <r>
      <rPr>
        <b val="true"/>
        <sz val="12"/>
        <color rgb="FF1F3864"/>
        <rFont val="Arial"/>
        <family val="0"/>
        <charset val="1"/>
      </rPr>
      <t xml:space="preserve">CPU </t>
    </r>
    <r>
      <rPr>
        <b val="true"/>
        <sz val="12"/>
        <color rgb="FF1F3864"/>
        <rFont val="Noto Sans CJK SC"/>
        <family val="2"/>
      </rPr>
      <t xml:space="preserve">사용률 </t>
    </r>
    <r>
      <rPr>
        <b val="true"/>
        <sz val="12"/>
        <color rgb="FF1F3864"/>
        <rFont val="Arial"/>
        <family val="0"/>
        <charset val="1"/>
      </rPr>
      <t xml:space="preserve">(%)</t>
    </r>
  </si>
  <si>
    <r>
      <rPr>
        <b val="true"/>
        <sz val="12"/>
        <color rgb="FF1F3864"/>
        <rFont val="Arial"/>
        <family val="0"/>
        <charset val="1"/>
      </rPr>
      <t xml:space="preserve">MEM </t>
    </r>
    <r>
      <rPr>
        <b val="true"/>
        <sz val="12"/>
        <color rgb="FF1F3864"/>
        <rFont val="Noto Sans CJK SC"/>
        <family val="2"/>
      </rPr>
      <t xml:space="preserve">사용률 </t>
    </r>
    <r>
      <rPr>
        <b val="true"/>
        <sz val="12"/>
        <color rgb="FF1F3864"/>
        <rFont val="Arial"/>
        <family val="0"/>
        <charset val="1"/>
      </rPr>
      <t xml:space="preserve">(%)</t>
    </r>
  </si>
  <si>
    <r>
      <rPr>
        <b val="true"/>
        <sz val="15"/>
        <color rgb="FF1F3864"/>
        <rFont val="Arial"/>
        <family val="0"/>
        <charset val="1"/>
      </rPr>
      <t xml:space="preserve">CLI </t>
    </r>
    <r>
      <rPr>
        <b val="true"/>
        <sz val="15"/>
        <color rgb="FF1F3864"/>
        <rFont val="Noto Sans CJK SC"/>
        <family val="2"/>
      </rPr>
      <t xml:space="preserve">계측 유무에 따른 추론 성능 비교</t>
    </r>
  </si>
  <si>
    <r>
      <rPr>
        <sz val="9"/>
        <color rgb="FF595959"/>
        <rFont val="Noto Sans CJK SC"/>
        <family val="2"/>
      </rPr>
      <t xml:space="preserve">막대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개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같은 조건의 </t>
    </r>
    <r>
      <rPr>
        <sz val="9"/>
        <color rgb="FF595959"/>
        <rFont val="Arial"/>
        <family val="0"/>
        <charset val="1"/>
      </rPr>
      <t xml:space="preserve">CLI OFF / CLI ON. </t>
    </r>
    <r>
      <rPr>
        <sz val="9"/>
        <color rgb="FF595959"/>
        <rFont val="Noto Sans CJK SC"/>
        <family val="2"/>
      </rPr>
      <t xml:space="preserve">아래쪽 차트는 조건별 변화율</t>
    </r>
    <r>
      <rPr>
        <sz val="9"/>
        <color rgb="FF595959"/>
        <rFont val="Arial"/>
        <family val="0"/>
        <charset val="1"/>
      </rPr>
      <t xml:space="preserve">(%)</t>
    </r>
    <r>
      <rPr>
        <sz val="9"/>
        <color rgb="FF595959"/>
        <rFont val="Noto Sans CJK SC"/>
        <family val="2"/>
      </rPr>
      <t xml:space="preserve">이다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데이터는 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그래프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데이터</t>
    </r>
    <r>
      <rPr>
        <sz val="9"/>
        <color rgb="FF595959"/>
        <rFont val="Arial"/>
        <family val="0"/>
        <charset val="1"/>
      </rPr>
      <t xml:space="preserve">" </t>
    </r>
    <r>
      <rPr>
        <sz val="9"/>
        <color rgb="FF595959"/>
        <rFont val="Noto Sans CJK SC"/>
        <family val="2"/>
      </rPr>
      <t xml:space="preserve">시트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계산은 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조건별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비교</t>
    </r>
    <r>
      <rPr>
        <sz val="9"/>
        <color rgb="FF595959"/>
        <rFont val="Arial"/>
        <family val="0"/>
        <charset val="1"/>
      </rPr>
      <t xml:space="preserve">" </t>
    </r>
    <r>
      <rPr>
        <sz val="9"/>
        <color rgb="FF595959"/>
        <rFont val="Noto Sans CJK SC"/>
        <family val="2"/>
      </rPr>
      <t xml:space="preserve">시트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</si>
  <si>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CLI ON </t>
    </r>
    <r>
      <rPr>
        <b val="true"/>
        <sz val="13"/>
        <color rgb="FF1F3864"/>
        <rFont val="Noto Sans CJK SC"/>
        <family val="2"/>
      </rPr>
      <t xml:space="preserve">실험에만 존재하는 열 </t>
    </r>
    <r>
      <rPr>
        <b val="true"/>
        <sz val="13"/>
        <color rgb="FF1F3864"/>
        <rFont val="Arial"/>
        <family val="0"/>
        <charset val="1"/>
      </rPr>
      <t xml:space="preserve">(</t>
    </r>
    <r>
      <rPr>
        <b val="true"/>
        <sz val="13"/>
        <color rgb="FF1F3864"/>
        <rFont val="Noto Sans CJK SC"/>
        <family val="2"/>
      </rPr>
      <t xml:space="preserve">조건별 </t>
    </r>
    <r>
      <rPr>
        <b val="true"/>
        <sz val="13"/>
        <color rgb="FF1F3864"/>
        <rFont val="Arial"/>
        <family val="0"/>
        <charset val="1"/>
      </rPr>
      <t xml:space="preserve">3</t>
    </r>
    <r>
      <rPr>
        <b val="true"/>
        <sz val="13"/>
        <color rgb="FF1F3864"/>
        <rFont val="Noto Sans CJK SC"/>
        <family val="2"/>
      </rPr>
      <t xml:space="preserve">런 평균</t>
    </r>
    <r>
      <rPr>
        <b val="true"/>
        <sz val="13"/>
        <color rgb="FF1F3864"/>
        <rFont val="Arial"/>
        <family val="0"/>
        <charset val="1"/>
      </rPr>
      <t xml:space="preserve">) — </t>
    </r>
    <r>
      <rPr>
        <b val="true"/>
        <sz val="13"/>
        <color rgb="FF1F3864"/>
        <rFont val="Noto Sans CJK SC"/>
        <family val="2"/>
      </rPr>
      <t xml:space="preserve">비교 대상 아님</t>
    </r>
    <r>
      <rPr>
        <b val="true"/>
        <sz val="13"/>
        <color rgb="FF1F3864"/>
        <rFont val="Arial"/>
        <family val="0"/>
        <charset val="1"/>
      </rPr>
      <t xml:space="preserve">, </t>
    </r>
    <r>
      <rPr>
        <b val="true"/>
        <sz val="13"/>
        <color rgb="FF1F3864"/>
        <rFont val="Noto Sans CJK SC"/>
        <family val="2"/>
      </rPr>
      <t xml:space="preserve">참고용</t>
    </r>
  </si>
  <si>
    <r>
      <rPr>
        <sz val="9"/>
        <color rgb="FF595959"/>
        <rFont val="Arial"/>
        <family val="0"/>
        <charset val="1"/>
      </rPr>
      <t xml:space="preserve">8L</t>
    </r>
    <r>
      <rPr>
        <sz val="9"/>
        <color rgb="FF595959"/>
        <rFont val="Noto Sans CJK SC"/>
        <family val="2"/>
      </rPr>
      <t xml:space="preserve">에서 </t>
    </r>
    <r>
      <rPr>
        <sz val="9"/>
        <color rgb="FF595959"/>
        <rFont val="Arial"/>
        <family val="0"/>
        <charset val="1"/>
      </rPr>
      <t xml:space="preserve">HRTT</t>
    </r>
    <r>
      <rPr>
        <sz val="9"/>
        <color rgb="FF595959"/>
        <rFont val="Noto Sans CJK SC"/>
        <family val="2"/>
      </rPr>
      <t xml:space="preserve">가 주던 값을 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에서는 </t>
    </r>
    <r>
      <rPr>
        <sz val="9"/>
        <color rgb="FF595959"/>
        <rFont val="Arial"/>
        <family val="0"/>
        <charset val="1"/>
      </rPr>
      <t xml:space="preserve">hailortcli monitor + </t>
    </r>
    <r>
      <rPr>
        <sz val="9"/>
        <color rgb="FF595959"/>
        <rFont val="Noto Sans CJK SC"/>
        <family val="2"/>
      </rPr>
      <t xml:space="preserve">호스트 실측으로 대체한 열이다</t>
    </r>
    <r>
      <rPr>
        <sz val="9"/>
        <color rgb="FF595959"/>
        <rFont val="Arial"/>
        <family val="0"/>
        <charset val="1"/>
      </rPr>
      <t xml:space="preserve">. CLI OFF </t>
    </r>
    <r>
      <rPr>
        <sz val="9"/>
        <color rgb="FF595959"/>
        <rFont val="Noto Sans CJK SC"/>
        <family val="2"/>
      </rPr>
      <t xml:space="preserve">실험에는 해당 열 자체가 없어 </t>
    </r>
    <r>
      <rPr>
        <sz val="9"/>
        <color rgb="FF595959"/>
        <rFont val="Arial"/>
        <family val="0"/>
        <charset val="1"/>
      </rPr>
      <t xml:space="preserve">% </t>
    </r>
    <r>
      <rPr>
        <sz val="9"/>
        <color rgb="FF595959"/>
        <rFont val="Noto Sans CJK SC"/>
        <family val="2"/>
      </rPr>
      <t xml:space="preserve">차이를 계산할 수 없다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</si>
  <si>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3"/>
        <color rgb="FF1F3864"/>
        <rFont val="Noto Sans CJK SC"/>
        <family val="2"/>
      </rPr>
      <t xml:space="preserve">측정 노이즈 크기 — 같은 </t>
    </r>
    <r>
      <rPr>
        <b val="true"/>
        <sz val="13"/>
        <color rgb="FF1F3864"/>
        <rFont val="Arial"/>
        <family val="0"/>
        <charset val="1"/>
      </rPr>
      <t xml:space="preserve">CLI OFF </t>
    </r>
    <r>
      <rPr>
        <b val="true"/>
        <sz val="13"/>
        <color rgb="FF1F3864"/>
        <rFont val="Noto Sans CJK SC"/>
        <family val="2"/>
      </rPr>
      <t xml:space="preserve">조건의 세트 </t>
    </r>
    <r>
      <rPr>
        <b val="true"/>
        <sz val="13"/>
        <color rgb="FF1F3864"/>
        <rFont val="Arial"/>
        <family val="0"/>
        <charset val="1"/>
      </rPr>
      <t xml:space="preserve">A vs </t>
    </r>
    <r>
      <rPr>
        <b val="true"/>
        <sz val="13"/>
        <color rgb="FF1F3864"/>
        <rFont val="Noto Sans CJK SC"/>
        <family val="2"/>
      </rPr>
      <t xml:space="preserve">세트 </t>
    </r>
    <r>
      <rPr>
        <b val="true"/>
        <sz val="13"/>
        <color rgb="FF1F3864"/>
        <rFont val="Arial"/>
        <family val="0"/>
        <charset val="1"/>
      </rPr>
      <t xml:space="preserve">C</t>
    </r>
  </si>
  <si>
    <r>
      <rPr>
        <sz val="9"/>
        <color rgb="FF595959"/>
        <rFont val="Noto Sans CJK SC"/>
        <family val="2"/>
      </rPr>
      <t xml:space="preserve">둘 다 </t>
    </r>
    <r>
      <rPr>
        <sz val="9"/>
        <color rgb="FF595959"/>
        <rFont val="Arial"/>
        <family val="0"/>
        <charset val="1"/>
      </rPr>
      <t xml:space="preserve">CLI</t>
    </r>
    <r>
      <rPr>
        <sz val="9"/>
        <color rgb="FF595959"/>
        <rFont val="Noto Sans CJK SC"/>
        <family val="2"/>
      </rPr>
      <t xml:space="preserve">를 안 쓴 동일 조건 실험이다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여기서 나오는 차이율이 곧 이 실험 셋업의 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바닥 노이즈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이며</t>
    </r>
    <r>
      <rPr>
        <sz val="9"/>
        <color rgb="FF595959"/>
        <rFont val="Arial"/>
        <family val="0"/>
        <charset val="1"/>
      </rPr>
      <t xml:space="preserve">, CLI </t>
    </r>
    <r>
      <rPr>
        <sz val="9"/>
        <color rgb="FF595959"/>
        <rFont val="Noto Sans CJK SC"/>
        <family val="2"/>
      </rPr>
      <t xml:space="preserve">효과는 이보다 커야 의미가 있다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</si>
  <si>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세트 </t>
    </r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</si>
  <si>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Noto Sans CJK SC"/>
        <family val="2"/>
      </rPr>
      <t xml:space="preserve">세트 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</si>
  <si>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: CLI </t>
    </r>
    <r>
      <rPr>
        <b val="true"/>
        <sz val="10"/>
        <color rgb="FFFFFFFF"/>
        <rFont val="Noto Sans CJK SC"/>
        <family val="2"/>
      </rPr>
      <t xml:space="preserve">차이율 </t>
    </r>
    <r>
      <rPr>
        <b val="true"/>
        <sz val="10"/>
        <color rgb="FFFFFFFF"/>
        <rFont val="Arial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</si>
</sst>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\+0.00%;\-0.00%;0.00%"/>
    <numFmt numFmtId="167" formatCode="0.000"/>
    <numFmt numFmtId="168" formatCode="0.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5"/>
      <color rgb="FF000000"/>
      <name val="Noto Sans CJK SC"/>
      <family val="2"/>
    </font>
    <font>
      <sz val="10"/>
      <color rgb="FF595959"/>
      <name val="Arial"/>
      <family val="0"/>
      <charset val="1"/>
    </font>
    <font>
      <sz val="10"/>
      <color rgb="FF595959"/>
      <name val="Noto Sans CJK SC"/>
      <family val="2"/>
    </font>
    <font>
      <b val="true"/>
      <sz val="12"/>
      <color rgb="FF1F3864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2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sz val="10"/>
      <name val="Noto Sans CJK SC"/>
      <family val="2"/>
    </font>
    <font>
      <b val="true"/>
      <sz val="9"/>
      <color rgb="FFC00000"/>
      <name val="Noto Sans CJK SC"/>
      <family val="2"/>
    </font>
    <font>
      <b val="true"/>
      <sz val="9"/>
      <color rgb="FFC000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9"/>
      <color rgb="FFFFFFFF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6E7CE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D6E7CE"/>
        <bgColor rgb="FFE2EFDA"/>
      </patternFill>
    </fill>
    <fill>
      <patternFill patternType="solid">
        <fgColor rgb="FFF2D8C8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7CE"/>
      <rgbColor rgb="FFE2EFDA"/>
      <rgbColor rgb="FFFCE4D6"/>
      <rgbColor rgb="FF99CCFF"/>
      <rgbColor rgb="FFFF99CC"/>
      <rgbColor rgb="FFCC99FF"/>
      <rgbColor rgb="FFF2D8C8"/>
      <rgbColor rgb="FF4472C4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평균 지연시간 — CLI OFF vs CLI 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그래프_데이터!B2</c:f>
              <c:strCache>
                <c:ptCount val="1"/>
                <c:pt idx="0">
                  <c:v>CLI OFF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그래프_데이터!$A$3:$A$14</c:f>
              <c:strCache>
                <c:ptCount val="12"/>
                <c:pt idx="0">
                  <c:v>det [det]</c:v>
                </c:pt>
                <c:pt idx="1">
                  <c:v>seg [seg]</c:v>
                </c:pt>
                <c:pt idx="2">
                  <c:v>pose [pose]</c:v>
                </c:pt>
                <c:pt idx="3">
                  <c:v>det_seg [det]</c:v>
                </c:pt>
                <c:pt idx="4">
                  <c:v>det_seg [seg]</c:v>
                </c:pt>
                <c:pt idx="5">
                  <c:v>det_pose [det]</c:v>
                </c:pt>
                <c:pt idx="6">
                  <c:v>det_pose [pose]</c:v>
                </c:pt>
                <c:pt idx="7">
                  <c:v>seg_pose [seg]</c:v>
                </c:pt>
                <c:pt idx="8">
                  <c:v>seg_pose [pose]</c:v>
                </c:pt>
                <c:pt idx="9">
                  <c:v>det_seg_pose [det]</c:v>
                </c:pt>
                <c:pt idx="10">
                  <c:v>det_seg_pose [seg]</c:v>
                </c:pt>
                <c:pt idx="11">
                  <c:v>det_seg_pose [pose]</c:v>
                </c:pt>
              </c:strCache>
            </c:strRef>
          </c:cat>
          <c:val>
            <c:numRef>
              <c:f>그래프_데이터!$B$3:$B$14</c:f>
              <c:numCache>
                <c:formatCode>0.000</c:formatCode>
                <c:ptCount val="12"/>
                <c:pt idx="0">
                  <c:v>17.8358</c:v>
                </c:pt>
                <c:pt idx="1">
                  <c:v>22.8428</c:v>
                </c:pt>
                <c:pt idx="2">
                  <c:v>17.8179333333333</c:v>
                </c:pt>
                <c:pt idx="3">
                  <c:v>25.1568</c:v>
                </c:pt>
                <c:pt idx="4">
                  <c:v>25.1607333333333</c:v>
                </c:pt>
                <c:pt idx="5">
                  <c:v>20.7239333333333</c:v>
                </c:pt>
                <c:pt idx="6">
                  <c:v>20.745</c:v>
                </c:pt>
                <c:pt idx="7">
                  <c:v>25.5236666666667</c:v>
                </c:pt>
                <c:pt idx="8">
                  <c:v>25.5649666666667</c:v>
                </c:pt>
                <c:pt idx="9">
                  <c:v>25.9363333333333</c:v>
                </c:pt>
                <c:pt idx="10">
                  <c:v>25.8181666666667</c:v>
                </c:pt>
                <c:pt idx="11">
                  <c:v>25.8600333333333</c:v>
                </c:pt>
              </c:numCache>
            </c:numRef>
          </c:val>
        </c:ser>
        <c:ser>
          <c:idx val="1"/>
          <c:order val="1"/>
          <c:tx>
            <c:strRef>
              <c:f>그래프_데이터!C2</c:f>
              <c:strCache>
                <c:ptCount val="1"/>
                <c:pt idx="0">
                  <c:v>CLI ON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그래프_데이터!$A$3:$A$14</c:f>
              <c:strCache>
                <c:ptCount val="12"/>
                <c:pt idx="0">
                  <c:v>det [det]</c:v>
                </c:pt>
                <c:pt idx="1">
                  <c:v>seg [seg]</c:v>
                </c:pt>
                <c:pt idx="2">
                  <c:v>pose [pose]</c:v>
                </c:pt>
                <c:pt idx="3">
                  <c:v>det_seg [det]</c:v>
                </c:pt>
                <c:pt idx="4">
                  <c:v>det_seg [seg]</c:v>
                </c:pt>
                <c:pt idx="5">
                  <c:v>det_pose [det]</c:v>
                </c:pt>
                <c:pt idx="6">
                  <c:v>det_pose [pose]</c:v>
                </c:pt>
                <c:pt idx="7">
                  <c:v>seg_pose [seg]</c:v>
                </c:pt>
                <c:pt idx="8">
                  <c:v>seg_pose [pose]</c:v>
                </c:pt>
                <c:pt idx="9">
                  <c:v>det_seg_pose [det]</c:v>
                </c:pt>
                <c:pt idx="10">
                  <c:v>det_seg_pose [seg]</c:v>
                </c:pt>
                <c:pt idx="11">
                  <c:v>det_seg_pose [pose]</c:v>
                </c:pt>
              </c:strCache>
            </c:strRef>
          </c:cat>
          <c:val>
            <c:numRef>
              <c:f>그래프_데이터!$C$3:$C$14</c:f>
              <c:numCache>
                <c:formatCode>0.000</c:formatCode>
                <c:ptCount val="12"/>
                <c:pt idx="0">
                  <c:v>19.1698666666667</c:v>
                </c:pt>
                <c:pt idx="1">
                  <c:v>24.6978666666667</c:v>
                </c:pt>
                <c:pt idx="2">
                  <c:v>19.6701666666667</c:v>
                </c:pt>
                <c:pt idx="3">
                  <c:v>26.8767666666667</c:v>
                </c:pt>
                <c:pt idx="4">
                  <c:v>28.0306</c:v>
                </c:pt>
                <c:pt idx="5">
                  <c:v>23.5648333333333</c:v>
                </c:pt>
                <c:pt idx="6">
                  <c:v>23.6841</c:v>
                </c:pt>
                <c:pt idx="7">
                  <c:v>29.2417</c:v>
                </c:pt>
                <c:pt idx="8">
                  <c:v>27.8121666666667</c:v>
                </c:pt>
                <c:pt idx="9">
                  <c:v>26.228</c:v>
                </c:pt>
                <c:pt idx="10">
                  <c:v>26.6891333333333</c:v>
                </c:pt>
                <c:pt idx="11">
                  <c:v>26.6922</c:v>
                </c:pt>
              </c:numCache>
            </c:numRef>
          </c:val>
        </c:ser>
        <c:gapWidth val="60"/>
        <c:overlap val="0"/>
        <c:axId val="66464576"/>
        <c:axId val="1130860"/>
      </c:barChart>
      <c:catAx>
        <c:axId val="664645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0860"/>
        <c:crosses val="autoZero"/>
        <c:auto val="1"/>
        <c:lblAlgn val="ctr"/>
        <c:lblOffset val="100"/>
        <c:noMultiLvlLbl val="0"/>
      </c:catAx>
      <c:valAx>
        <c:axId val="1130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지연시간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64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평균 FPS — CLI OFF vs CLI 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그래프_데이터!B18</c:f>
              <c:strCache>
                <c:ptCount val="1"/>
                <c:pt idx="0">
                  <c:v>CLI OFF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그래프_데이터!$A$19:$A$30</c:f>
              <c:strCache>
                <c:ptCount val="12"/>
                <c:pt idx="0">
                  <c:v>det [det]</c:v>
                </c:pt>
                <c:pt idx="1">
                  <c:v>seg [seg]</c:v>
                </c:pt>
                <c:pt idx="2">
                  <c:v>pose [pose]</c:v>
                </c:pt>
                <c:pt idx="3">
                  <c:v>det_seg [det]</c:v>
                </c:pt>
                <c:pt idx="4">
                  <c:v>det_seg [seg]</c:v>
                </c:pt>
                <c:pt idx="5">
                  <c:v>det_pose [det]</c:v>
                </c:pt>
                <c:pt idx="6">
                  <c:v>det_pose [pose]</c:v>
                </c:pt>
                <c:pt idx="7">
                  <c:v>seg_pose [seg]</c:v>
                </c:pt>
                <c:pt idx="8">
                  <c:v>seg_pose [pose]</c:v>
                </c:pt>
                <c:pt idx="9">
                  <c:v>det_seg_pose [det]</c:v>
                </c:pt>
                <c:pt idx="10">
                  <c:v>det_seg_pose [seg]</c:v>
                </c:pt>
                <c:pt idx="11">
                  <c:v>det_seg_pose [pose]</c:v>
                </c:pt>
              </c:strCache>
            </c:strRef>
          </c:cat>
          <c:val>
            <c:numRef>
              <c:f>그래프_데이터!$B$19:$B$30</c:f>
              <c:numCache>
                <c:formatCode>0.000</c:formatCode>
                <c:ptCount val="12"/>
                <c:pt idx="0">
                  <c:v>42.3454</c:v>
                </c:pt>
                <c:pt idx="1">
                  <c:v>34.6877</c:v>
                </c:pt>
                <c:pt idx="2">
                  <c:v>42.3741666666667</c:v>
                </c:pt>
                <c:pt idx="3">
                  <c:v>32.0327</c:v>
                </c:pt>
                <c:pt idx="4">
                  <c:v>31.9858666666667</c:v>
                </c:pt>
                <c:pt idx="5">
                  <c:v>38.236</c:v>
                </c:pt>
                <c:pt idx="6">
                  <c:v>38.2378</c:v>
                </c:pt>
                <c:pt idx="7">
                  <c:v>31.5831333333333</c:v>
                </c:pt>
                <c:pt idx="8">
                  <c:v>31.645</c:v>
                </c:pt>
                <c:pt idx="9">
                  <c:v>31.7123666666667</c:v>
                </c:pt>
                <c:pt idx="10">
                  <c:v>31.7022666666667</c:v>
                </c:pt>
                <c:pt idx="11">
                  <c:v>31.7397666666667</c:v>
                </c:pt>
              </c:numCache>
            </c:numRef>
          </c:val>
        </c:ser>
        <c:ser>
          <c:idx val="1"/>
          <c:order val="1"/>
          <c:tx>
            <c:strRef>
              <c:f>그래프_데이터!C18</c:f>
              <c:strCache>
                <c:ptCount val="1"/>
                <c:pt idx="0">
                  <c:v>CLI ON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그래프_데이터!$A$19:$A$30</c:f>
              <c:strCache>
                <c:ptCount val="12"/>
                <c:pt idx="0">
                  <c:v>det [det]</c:v>
                </c:pt>
                <c:pt idx="1">
                  <c:v>seg [seg]</c:v>
                </c:pt>
                <c:pt idx="2">
                  <c:v>pose [pose]</c:v>
                </c:pt>
                <c:pt idx="3">
                  <c:v>det_seg [det]</c:v>
                </c:pt>
                <c:pt idx="4">
                  <c:v>det_seg [seg]</c:v>
                </c:pt>
                <c:pt idx="5">
                  <c:v>det_pose [det]</c:v>
                </c:pt>
                <c:pt idx="6">
                  <c:v>det_pose [pose]</c:v>
                </c:pt>
                <c:pt idx="7">
                  <c:v>seg_pose [seg]</c:v>
                </c:pt>
                <c:pt idx="8">
                  <c:v>seg_pose [pose]</c:v>
                </c:pt>
                <c:pt idx="9">
                  <c:v>det_seg_pose [det]</c:v>
                </c:pt>
                <c:pt idx="10">
                  <c:v>det_seg_pose [seg]</c:v>
                </c:pt>
                <c:pt idx="11">
                  <c:v>det_seg_pose [pose]</c:v>
                </c:pt>
              </c:strCache>
            </c:strRef>
          </c:cat>
          <c:val>
            <c:numRef>
              <c:f>그래프_데이터!$C$19:$C$30</c:f>
              <c:numCache>
                <c:formatCode>0.000</c:formatCode>
                <c:ptCount val="12"/>
                <c:pt idx="0">
                  <c:v>39.9159666666667</c:v>
                </c:pt>
                <c:pt idx="1">
                  <c:v>32.6560666666667</c:v>
                </c:pt>
                <c:pt idx="2">
                  <c:v>39.1117</c:v>
                </c:pt>
                <c:pt idx="3">
                  <c:v>30.2846</c:v>
                </c:pt>
                <c:pt idx="4">
                  <c:v>29.2424666666667</c:v>
                </c:pt>
                <c:pt idx="5">
                  <c:v>34.5234666666667</c:v>
                </c:pt>
                <c:pt idx="6">
                  <c:v>34.3902</c:v>
                </c:pt>
                <c:pt idx="7">
                  <c:v>28.2496</c:v>
                </c:pt>
                <c:pt idx="8">
                  <c:v>29.4841666666667</c:v>
                </c:pt>
                <c:pt idx="9">
                  <c:v>31.1707</c:v>
                </c:pt>
                <c:pt idx="10">
                  <c:v>31.0071333333333</c:v>
                </c:pt>
                <c:pt idx="11">
                  <c:v>31.0688333333333</c:v>
                </c:pt>
              </c:numCache>
            </c:numRef>
          </c:val>
        </c:ser>
        <c:gapWidth val="60"/>
        <c:overlap val="0"/>
        <c:axId val="27581413"/>
        <c:axId val="41717030"/>
      </c:barChart>
      <c:catAx>
        <c:axId val="275814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17030"/>
        <c:crosses val="autoZero"/>
        <c:auto val="1"/>
        <c:lblAlgn val="ctr"/>
        <c:lblOffset val="100"/>
        <c:noMultiLvlLbl val="0"/>
      </c:catAx>
      <c:valAx>
        <c:axId val="41717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814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지연시간 변화율 (CLI ON 기준, +는 느려짐)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그래프_데이터!D2</c:f>
              <c:strCache>
                <c:ptCount val="1"/>
                <c:pt idx="0">
                  <c:v>차이율 (%)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그래프_데이터!$A$3:$A$14</c:f>
              <c:strCache>
                <c:ptCount val="12"/>
                <c:pt idx="0">
                  <c:v>det [det]</c:v>
                </c:pt>
                <c:pt idx="1">
                  <c:v>seg [seg]</c:v>
                </c:pt>
                <c:pt idx="2">
                  <c:v>pose [pose]</c:v>
                </c:pt>
                <c:pt idx="3">
                  <c:v>det_seg [det]</c:v>
                </c:pt>
                <c:pt idx="4">
                  <c:v>det_seg [seg]</c:v>
                </c:pt>
                <c:pt idx="5">
                  <c:v>det_pose [det]</c:v>
                </c:pt>
                <c:pt idx="6">
                  <c:v>det_pose [pose]</c:v>
                </c:pt>
                <c:pt idx="7">
                  <c:v>seg_pose [seg]</c:v>
                </c:pt>
                <c:pt idx="8">
                  <c:v>seg_pose [pose]</c:v>
                </c:pt>
                <c:pt idx="9">
                  <c:v>det_seg_pose [det]</c:v>
                </c:pt>
                <c:pt idx="10">
                  <c:v>det_seg_pose [seg]</c:v>
                </c:pt>
                <c:pt idx="11">
                  <c:v>det_seg_pose [pose]</c:v>
                </c:pt>
              </c:strCache>
            </c:strRef>
          </c:cat>
          <c:val>
            <c:numRef>
              <c:f>그래프_데이터!$D$3:$D$14</c:f>
              <c:numCache>
                <c:formatCode>\+0.00%;\-0.00%;0.00%</c:formatCode>
                <c:ptCount val="12"/>
                <c:pt idx="0">
                  <c:v>0.0747971308641421</c:v>
                </c:pt>
                <c:pt idx="1">
                  <c:v>0.0812101260207446</c:v>
                </c:pt>
                <c:pt idx="2">
                  <c:v>0.103953320437462</c:v>
                </c:pt>
                <c:pt idx="3">
                  <c:v>0.0683698509614366</c:v>
                </c:pt>
                <c:pt idx="4">
                  <c:v>0.114061328366158</c:v>
                </c:pt>
                <c:pt idx="5">
                  <c:v>0.137083050514864</c:v>
                </c:pt>
                <c:pt idx="6">
                  <c:v>0.141677512653651</c:v>
                </c:pt>
                <c:pt idx="7">
                  <c:v>0.145670031735252</c:v>
                </c:pt>
                <c:pt idx="8">
                  <c:v>0.0879015423450581</c:v>
                </c:pt>
                <c:pt idx="9">
                  <c:v>0.011245485740724</c:v>
                </c:pt>
                <c:pt idx="10">
                  <c:v>0.033734644210472</c:v>
                </c:pt>
                <c:pt idx="11">
                  <c:v>0.032179644006646</c:v>
                </c:pt>
              </c:numCache>
            </c:numRef>
          </c:val>
        </c:ser>
        <c:gapWidth val="60"/>
        <c:overlap val="0"/>
        <c:axId val="13499301"/>
        <c:axId val="44269922"/>
      </c:barChart>
      <c:catAx>
        <c:axId val="13499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9922"/>
        <c:crosses val="autoZero"/>
        <c:auto val="1"/>
        <c:lblAlgn val="ctr"/>
        <c:lblOffset val="100"/>
        <c:noMultiLvlLbl val="0"/>
      </c:catAx>
      <c:valAx>
        <c:axId val="442699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변화율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993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FPS 변화율 (CLI ON 기준, +는 빨라짐)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그래프_데이터!D18</c:f>
              <c:strCache>
                <c:ptCount val="1"/>
                <c:pt idx="0">
                  <c:v>차이율 (%)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그래프_데이터!$A$19:$A$30</c:f>
              <c:strCache>
                <c:ptCount val="12"/>
                <c:pt idx="0">
                  <c:v>det [det]</c:v>
                </c:pt>
                <c:pt idx="1">
                  <c:v>seg [seg]</c:v>
                </c:pt>
                <c:pt idx="2">
                  <c:v>pose [pose]</c:v>
                </c:pt>
                <c:pt idx="3">
                  <c:v>det_seg [det]</c:v>
                </c:pt>
                <c:pt idx="4">
                  <c:v>det_seg [seg]</c:v>
                </c:pt>
                <c:pt idx="5">
                  <c:v>det_pose [det]</c:v>
                </c:pt>
                <c:pt idx="6">
                  <c:v>det_pose [pose]</c:v>
                </c:pt>
                <c:pt idx="7">
                  <c:v>seg_pose [seg]</c:v>
                </c:pt>
                <c:pt idx="8">
                  <c:v>seg_pose [pose]</c:v>
                </c:pt>
                <c:pt idx="9">
                  <c:v>det_seg_pose [det]</c:v>
                </c:pt>
                <c:pt idx="10">
                  <c:v>det_seg_pose [seg]</c:v>
                </c:pt>
                <c:pt idx="11">
                  <c:v>det_seg_pose [pose]</c:v>
                </c:pt>
              </c:strCache>
            </c:strRef>
          </c:cat>
          <c:val>
            <c:numRef>
              <c:f>그래프_데이터!$D$19:$D$30</c:f>
              <c:numCache>
                <c:formatCode>\+0.00%;\-0.00%;0.00%</c:formatCode>
                <c:ptCount val="12"/>
                <c:pt idx="0">
                  <c:v>-0.0573718357444571</c:v>
                </c:pt>
                <c:pt idx="1">
                  <c:v>-0.0585692719129066</c:v>
                </c:pt>
                <c:pt idx="2">
                  <c:v>-0.0769918779130365</c:v>
                </c:pt>
                <c:pt idx="3">
                  <c:v>-0.0545723588707788</c:v>
                </c:pt>
                <c:pt idx="4">
                  <c:v>-0.0857691313663534</c:v>
                </c:pt>
                <c:pt idx="5">
                  <c:v>-0.0970952331136449</c:v>
                </c:pt>
                <c:pt idx="6">
                  <c:v>-0.100622943788607</c:v>
                </c:pt>
                <c:pt idx="7">
                  <c:v>-0.105547897928641</c:v>
                </c:pt>
                <c:pt idx="8">
                  <c:v>-0.0682835624374572</c:v>
                </c:pt>
                <c:pt idx="9">
                  <c:v>-0.0170806131362003</c:v>
                </c:pt>
                <c:pt idx="10">
                  <c:v>-0.02192692846358</c:v>
                </c:pt>
                <c:pt idx="11">
                  <c:v>-0.0211385716971245</c:v>
                </c:pt>
              </c:numCache>
            </c:numRef>
          </c:val>
        </c:ser>
        <c:gapWidth val="60"/>
        <c:overlap val="0"/>
        <c:axId val="44201743"/>
        <c:axId val="563761"/>
      </c:barChart>
      <c:catAx>
        <c:axId val="44201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761"/>
        <c:crosses val="autoZero"/>
        <c:auto val="1"/>
        <c:lblAlgn val="ctr"/>
        <c:lblOffset val="100"/>
        <c:noMultiLvlLbl val="0"/>
      </c:catAx>
      <c:valAx>
        <c:axId val="56376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변화율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017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CPU 사용률 — CLI OFF vs CLI 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그래프_데이터!B34</c:f>
              <c:strCache>
                <c:ptCount val="1"/>
                <c:pt idx="0">
                  <c:v>CLI OFF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그래프_데이터!$A$35:$A$41</c:f>
              <c:strCache>
                <c:ptCount val="7"/>
                <c:pt idx="0">
                  <c:v>det</c:v>
                </c:pt>
                <c:pt idx="1">
                  <c:v>seg</c:v>
                </c:pt>
                <c:pt idx="2">
                  <c:v>pose</c:v>
                </c:pt>
                <c:pt idx="3">
                  <c:v>det_seg</c:v>
                </c:pt>
                <c:pt idx="4">
                  <c:v>det_pose</c:v>
                </c:pt>
                <c:pt idx="5">
                  <c:v>seg_pose</c:v>
                </c:pt>
                <c:pt idx="6">
                  <c:v>det_seg_pose</c:v>
                </c:pt>
              </c:strCache>
            </c:strRef>
          </c:cat>
          <c:val>
            <c:numRef>
              <c:f>그래프_데이터!$B$35:$B$41</c:f>
              <c:numCache>
                <c:formatCode>0.000</c:formatCode>
                <c:ptCount val="7"/>
                <c:pt idx="0">
                  <c:v>12.7268</c:v>
                </c:pt>
                <c:pt idx="1">
                  <c:v>10.9258</c:v>
                </c:pt>
                <c:pt idx="2">
                  <c:v>12.7258666666667</c:v>
                </c:pt>
                <c:pt idx="3">
                  <c:v>19.1542333333333</c:v>
                </c:pt>
                <c:pt idx="4">
                  <c:v>21.2264333333333</c:v>
                </c:pt>
                <c:pt idx="5">
                  <c:v>19.0487666666667</c:v>
                </c:pt>
                <c:pt idx="6">
                  <c:v>26.9480333333333</c:v>
                </c:pt>
              </c:numCache>
            </c:numRef>
          </c:val>
        </c:ser>
        <c:ser>
          <c:idx val="1"/>
          <c:order val="1"/>
          <c:tx>
            <c:strRef>
              <c:f>그래프_데이터!C34</c:f>
              <c:strCache>
                <c:ptCount val="1"/>
                <c:pt idx="0">
                  <c:v>CLI ON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그래프_데이터!$A$35:$A$41</c:f>
              <c:strCache>
                <c:ptCount val="7"/>
                <c:pt idx="0">
                  <c:v>det</c:v>
                </c:pt>
                <c:pt idx="1">
                  <c:v>seg</c:v>
                </c:pt>
                <c:pt idx="2">
                  <c:v>pose</c:v>
                </c:pt>
                <c:pt idx="3">
                  <c:v>det_seg</c:v>
                </c:pt>
                <c:pt idx="4">
                  <c:v>det_pose</c:v>
                </c:pt>
                <c:pt idx="5">
                  <c:v>seg_pose</c:v>
                </c:pt>
                <c:pt idx="6">
                  <c:v>det_seg_pose</c:v>
                </c:pt>
              </c:strCache>
            </c:strRef>
          </c:cat>
          <c:val>
            <c:numRef>
              <c:f>그래프_데이터!$C$35:$C$41</c:f>
              <c:numCache>
                <c:formatCode>0.000</c:formatCode>
                <c:ptCount val="7"/>
                <c:pt idx="0">
                  <c:v>12.6040333333333</c:v>
                </c:pt>
                <c:pt idx="1">
                  <c:v>10.4907666666667</c:v>
                </c:pt>
                <c:pt idx="2">
                  <c:v>12.3272</c:v>
                </c:pt>
                <c:pt idx="3">
                  <c:v>18.0408</c:v>
                </c:pt>
                <c:pt idx="4">
                  <c:v>19.7349333333333</c:v>
                </c:pt>
                <c:pt idx="5">
                  <c:v>17.7205</c:v>
                </c:pt>
                <c:pt idx="6">
                  <c:v>25.4252666666667</c:v>
                </c:pt>
              </c:numCache>
            </c:numRef>
          </c:val>
        </c:ser>
        <c:gapWidth val="60"/>
        <c:overlap val="0"/>
        <c:axId val="21070372"/>
        <c:axId val="89847177"/>
      </c:barChart>
      <c:catAx>
        <c:axId val="21070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47177"/>
        <c:crosses val="autoZero"/>
        <c:auto val="1"/>
        <c:lblAlgn val="ctr"/>
        <c:lblOffset val="100"/>
        <c:noMultiLvlLbl val="0"/>
      </c:catAx>
      <c:valAx>
        <c:axId val="89847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CPU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703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MEM 사용률 — CLI OFF vs CLI 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그래프_데이터!B45</c:f>
              <c:strCache>
                <c:ptCount val="1"/>
                <c:pt idx="0">
                  <c:v>CLI OFF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그래프_데이터!$A$46:$A$52</c:f>
              <c:strCache>
                <c:ptCount val="7"/>
                <c:pt idx="0">
                  <c:v>det</c:v>
                </c:pt>
                <c:pt idx="1">
                  <c:v>seg</c:v>
                </c:pt>
                <c:pt idx="2">
                  <c:v>pose</c:v>
                </c:pt>
                <c:pt idx="3">
                  <c:v>det_seg</c:v>
                </c:pt>
                <c:pt idx="4">
                  <c:v>det_pose</c:v>
                </c:pt>
                <c:pt idx="5">
                  <c:v>seg_pose</c:v>
                </c:pt>
                <c:pt idx="6">
                  <c:v>det_seg_pose</c:v>
                </c:pt>
              </c:strCache>
            </c:strRef>
          </c:cat>
          <c:val>
            <c:numRef>
              <c:f>그래프_데이터!$B$46:$B$52</c:f>
              <c:numCache>
                <c:formatCode>0.000</c:formatCode>
                <c:ptCount val="7"/>
                <c:pt idx="0">
                  <c:v>6.80632</c:v>
                </c:pt>
                <c:pt idx="1">
                  <c:v>6.95555333333333</c:v>
                </c:pt>
                <c:pt idx="2">
                  <c:v>6.97832</c:v>
                </c:pt>
                <c:pt idx="3">
                  <c:v>7.863</c:v>
                </c:pt>
                <c:pt idx="4">
                  <c:v>7.81261</c:v>
                </c:pt>
                <c:pt idx="5">
                  <c:v>8.1872</c:v>
                </c:pt>
                <c:pt idx="6">
                  <c:v>8.45667</c:v>
                </c:pt>
              </c:numCache>
            </c:numRef>
          </c:val>
        </c:ser>
        <c:ser>
          <c:idx val="1"/>
          <c:order val="1"/>
          <c:tx>
            <c:strRef>
              <c:f>그래프_데이터!C45</c:f>
              <c:strCache>
                <c:ptCount val="1"/>
                <c:pt idx="0">
                  <c:v>CLI ON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그래프_데이터!$A$46:$A$52</c:f>
              <c:strCache>
                <c:ptCount val="7"/>
                <c:pt idx="0">
                  <c:v>det</c:v>
                </c:pt>
                <c:pt idx="1">
                  <c:v>seg</c:v>
                </c:pt>
                <c:pt idx="2">
                  <c:v>pose</c:v>
                </c:pt>
                <c:pt idx="3">
                  <c:v>det_seg</c:v>
                </c:pt>
                <c:pt idx="4">
                  <c:v>det_pose</c:v>
                </c:pt>
                <c:pt idx="5">
                  <c:v>seg_pose</c:v>
                </c:pt>
                <c:pt idx="6">
                  <c:v>det_seg_pose</c:v>
                </c:pt>
              </c:strCache>
            </c:strRef>
          </c:cat>
          <c:val>
            <c:numRef>
              <c:f>그래프_데이터!$C$46:$C$52</c:f>
              <c:numCache>
                <c:formatCode>0.000</c:formatCode>
                <c:ptCount val="7"/>
                <c:pt idx="0">
                  <c:v>7.93998</c:v>
                </c:pt>
                <c:pt idx="1">
                  <c:v>8.10224666666667</c:v>
                </c:pt>
                <c:pt idx="2">
                  <c:v>7.94180333333333</c:v>
                </c:pt>
                <c:pt idx="3">
                  <c:v>8.48978333333333</c:v>
                </c:pt>
                <c:pt idx="4">
                  <c:v>8.55243666666667</c:v>
                </c:pt>
                <c:pt idx="5">
                  <c:v>8.68244333333333</c:v>
                </c:pt>
                <c:pt idx="6">
                  <c:v>7.92106333333333</c:v>
                </c:pt>
              </c:numCache>
            </c:numRef>
          </c:val>
        </c:ser>
        <c:gapWidth val="60"/>
        <c:overlap val="0"/>
        <c:axId val="28608244"/>
        <c:axId val="11801849"/>
      </c:barChart>
      <c:catAx>
        <c:axId val="28608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01849"/>
        <c:crosses val="autoZero"/>
        <c:auto val="1"/>
        <c:lblAlgn val="ctr"/>
        <c:lblOffset val="100"/>
        <c:noMultiLvlLbl val="0"/>
      </c:catAx>
      <c:valAx>
        <c:axId val="11801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082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CPU 변화율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그래프_데이터!D34</c:f>
              <c:strCache>
                <c:ptCount val="1"/>
                <c:pt idx="0">
                  <c:v>차이율 (%)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그래프_데이터!$A$35:$A$41</c:f>
              <c:strCache>
                <c:ptCount val="7"/>
                <c:pt idx="0">
                  <c:v>det</c:v>
                </c:pt>
                <c:pt idx="1">
                  <c:v>seg</c:v>
                </c:pt>
                <c:pt idx="2">
                  <c:v>pose</c:v>
                </c:pt>
                <c:pt idx="3">
                  <c:v>det_seg</c:v>
                </c:pt>
                <c:pt idx="4">
                  <c:v>det_pose</c:v>
                </c:pt>
                <c:pt idx="5">
                  <c:v>seg_pose</c:v>
                </c:pt>
                <c:pt idx="6">
                  <c:v>det_seg_pose</c:v>
                </c:pt>
              </c:strCache>
            </c:strRef>
          </c:cat>
          <c:val>
            <c:numRef>
              <c:f>그래프_데이터!$D$35:$D$41</c:f>
              <c:numCache>
                <c:formatCode>\+0.00%;\-0.00%;0.00%</c:formatCode>
                <c:ptCount val="7"/>
                <c:pt idx="0">
                  <c:v>-0.00964631067249154</c:v>
                </c:pt>
                <c:pt idx="1">
                  <c:v>-0.0398170690780843</c:v>
                </c:pt>
                <c:pt idx="2">
                  <c:v>-0.0313272704413059</c:v>
                </c:pt>
                <c:pt idx="3">
                  <c:v>-0.0581298825150924</c:v>
                </c:pt>
                <c:pt idx="4">
                  <c:v>-0.070266161845372</c:v>
                </c:pt>
                <c:pt idx="5">
                  <c:v>-0.0697297987796234</c:v>
                </c:pt>
                <c:pt idx="6">
                  <c:v>-0.0565075249770854</c:v>
                </c:pt>
              </c:numCache>
            </c:numRef>
          </c:val>
        </c:ser>
        <c:gapWidth val="60"/>
        <c:overlap val="0"/>
        <c:axId val="23703716"/>
        <c:axId val="28667435"/>
      </c:barChart>
      <c:catAx>
        <c:axId val="23703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7435"/>
        <c:crosses val="autoZero"/>
        <c:auto val="1"/>
        <c:lblAlgn val="ctr"/>
        <c:lblOffset val="100"/>
        <c:noMultiLvlLbl val="0"/>
      </c:catAx>
      <c:valAx>
        <c:axId val="286674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변화율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037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MEM 변화율 (호스트 전체 사용률 — 배경 변동 포함, 참고용)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그래프_데이터!D45</c:f>
              <c:strCache>
                <c:ptCount val="1"/>
                <c:pt idx="0">
                  <c:v>차이율 (%)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그래프_데이터!$A$46:$A$52</c:f>
              <c:strCache>
                <c:ptCount val="7"/>
                <c:pt idx="0">
                  <c:v>det</c:v>
                </c:pt>
                <c:pt idx="1">
                  <c:v>seg</c:v>
                </c:pt>
                <c:pt idx="2">
                  <c:v>pose</c:v>
                </c:pt>
                <c:pt idx="3">
                  <c:v>det_seg</c:v>
                </c:pt>
                <c:pt idx="4">
                  <c:v>det_pose</c:v>
                </c:pt>
                <c:pt idx="5">
                  <c:v>seg_pose</c:v>
                </c:pt>
                <c:pt idx="6">
                  <c:v>det_seg_pose</c:v>
                </c:pt>
              </c:strCache>
            </c:strRef>
          </c:cat>
          <c:val>
            <c:numRef>
              <c:f>그래프_데이터!$D$46:$D$52</c:f>
              <c:numCache>
                <c:formatCode>\+0.00%;\-0.00%;0.00%</c:formatCode>
                <c:ptCount val="7"/>
                <c:pt idx="0">
                  <c:v>0.166559903148838</c:v>
                </c:pt>
                <c:pt idx="1">
                  <c:v>0.164860116568727</c:v>
                </c:pt>
                <c:pt idx="2">
                  <c:v>0.138068092797884</c:v>
                </c:pt>
                <c:pt idx="3">
                  <c:v>0.0797130018228836</c:v>
                </c:pt>
                <c:pt idx="4">
                  <c:v>0.094696480006895</c:v>
                </c:pt>
                <c:pt idx="5">
                  <c:v>0.0604899517946715</c:v>
                </c:pt>
                <c:pt idx="6">
                  <c:v>-0.0633354105891169</c:v>
                </c:pt>
              </c:numCache>
            </c:numRef>
          </c:val>
        </c:ser>
        <c:gapWidth val="60"/>
        <c:overlap val="0"/>
        <c:axId val="60897337"/>
        <c:axId val="99165413"/>
      </c:barChart>
      <c:catAx>
        <c:axId val="608973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워크로드 조건 [모델]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65413"/>
        <c:crosses val="autoZero"/>
        <c:auto val="1"/>
        <c:lblAlgn val="ctr"/>
        <c:lblOffset val="100"/>
        <c:noMultiLvlLbl val="0"/>
      </c:catAx>
      <c:valAx>
        <c:axId val="991654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변화율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973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98640</xdr:rowOff>
    </xdr:from>
    <xdr:to>
      <xdr:col>12</xdr:col>
      <xdr:colOff>581400</xdr:colOff>
      <xdr:row>23</xdr:row>
      <xdr:rowOff>57600</xdr:rowOff>
    </xdr:to>
    <xdr:graphicFrame>
      <xdr:nvGraphicFramePr>
        <xdr:cNvPr id="0" name="Chart 1"/>
        <xdr:cNvGraphicFramePr/>
      </xdr:nvGraphicFramePr>
      <xdr:xfrm>
        <a:off x="0" y="571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</xdr:row>
      <xdr:rowOff>98640</xdr:rowOff>
    </xdr:from>
    <xdr:to>
      <xdr:col>25</xdr:col>
      <xdr:colOff>581400</xdr:colOff>
      <xdr:row>23</xdr:row>
      <xdr:rowOff>57600</xdr:rowOff>
    </xdr:to>
    <xdr:graphicFrame>
      <xdr:nvGraphicFramePr>
        <xdr:cNvPr id="1" name="Chart 2"/>
        <xdr:cNvGraphicFramePr/>
      </xdr:nvGraphicFramePr>
      <xdr:xfrm>
        <a:off x="7949520" y="571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98280</xdr:rowOff>
    </xdr:from>
    <xdr:to>
      <xdr:col>12</xdr:col>
      <xdr:colOff>581400</xdr:colOff>
      <xdr:row>46</xdr:row>
      <xdr:rowOff>57600</xdr:rowOff>
    </xdr:to>
    <xdr:graphicFrame>
      <xdr:nvGraphicFramePr>
        <xdr:cNvPr id="2" name="Chart 3"/>
        <xdr:cNvGraphicFramePr/>
      </xdr:nvGraphicFramePr>
      <xdr:xfrm>
        <a:off x="0" y="4952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25</xdr:row>
      <xdr:rowOff>98280</xdr:rowOff>
    </xdr:from>
    <xdr:to>
      <xdr:col>25</xdr:col>
      <xdr:colOff>581400</xdr:colOff>
      <xdr:row>46</xdr:row>
      <xdr:rowOff>57600</xdr:rowOff>
    </xdr:to>
    <xdr:graphicFrame>
      <xdr:nvGraphicFramePr>
        <xdr:cNvPr id="3" name="Chart 4"/>
        <xdr:cNvGraphicFramePr/>
      </xdr:nvGraphicFramePr>
      <xdr:xfrm>
        <a:off x="7949520" y="4952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48</xdr:row>
      <xdr:rowOff>98280</xdr:rowOff>
    </xdr:from>
    <xdr:to>
      <xdr:col>9</xdr:col>
      <xdr:colOff>255960</xdr:colOff>
      <xdr:row>69</xdr:row>
      <xdr:rowOff>57600</xdr:rowOff>
    </xdr:to>
    <xdr:graphicFrame>
      <xdr:nvGraphicFramePr>
        <xdr:cNvPr id="4" name="Chart 5"/>
        <xdr:cNvGraphicFramePr/>
      </xdr:nvGraphicFramePr>
      <xdr:xfrm>
        <a:off x="0" y="933444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48</xdr:row>
      <xdr:rowOff>98280</xdr:rowOff>
    </xdr:from>
    <xdr:to>
      <xdr:col>20</xdr:col>
      <xdr:colOff>255960</xdr:colOff>
      <xdr:row>69</xdr:row>
      <xdr:rowOff>57600</xdr:rowOff>
    </xdr:to>
    <xdr:graphicFrame>
      <xdr:nvGraphicFramePr>
        <xdr:cNvPr id="5" name="Chart 6"/>
        <xdr:cNvGraphicFramePr/>
      </xdr:nvGraphicFramePr>
      <xdr:xfrm>
        <a:off x="6726600" y="933444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71</xdr:row>
      <xdr:rowOff>98280</xdr:rowOff>
    </xdr:from>
    <xdr:to>
      <xdr:col>9</xdr:col>
      <xdr:colOff>255960</xdr:colOff>
      <xdr:row>92</xdr:row>
      <xdr:rowOff>57600</xdr:rowOff>
    </xdr:to>
    <xdr:graphicFrame>
      <xdr:nvGraphicFramePr>
        <xdr:cNvPr id="6" name="Chart 7"/>
        <xdr:cNvGraphicFramePr/>
      </xdr:nvGraphicFramePr>
      <xdr:xfrm>
        <a:off x="0" y="137160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71</xdr:row>
      <xdr:rowOff>98280</xdr:rowOff>
    </xdr:from>
    <xdr:to>
      <xdr:col>20</xdr:col>
      <xdr:colOff>255960</xdr:colOff>
      <xdr:row>92</xdr:row>
      <xdr:rowOff>57600</xdr:rowOff>
    </xdr:to>
    <xdr:graphicFrame>
      <xdr:nvGraphicFramePr>
        <xdr:cNvPr id="7" name="Chart 8"/>
        <xdr:cNvGraphicFramePr/>
      </xdr:nvGraphicFramePr>
      <xdr:xfrm>
        <a:off x="6726600" y="137160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8"/>
  </cols>
  <sheetData>
    <row r="2" customFormat="false" ht="23.1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15" hidden="false" customHeight="true" outlineLevel="0" collapsed="false">
      <c r="B8" s="6" t="s">
        <v>7</v>
      </c>
      <c r="C8" s="5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true" outlineLevel="0" collapsed="false">
      <c r="B11" s="6" t="s">
        <v>10</v>
      </c>
      <c r="C11" s="5" t="s">
        <v>11</v>
      </c>
    </row>
    <row r="12" customFormat="false" ht="15" hidden="false" customHeight="true" outlineLevel="0" collapsed="false">
      <c r="B12" s="4" t="s">
        <v>12</v>
      </c>
      <c r="C12" s="5" t="s">
        <v>13</v>
      </c>
    </row>
    <row r="13" customFormat="false" ht="15" hidden="false" customHeight="true" outlineLevel="0" collapsed="false">
      <c r="B13" s="6" t="s">
        <v>14</v>
      </c>
      <c r="C13" s="5" t="s">
        <v>15</v>
      </c>
    </row>
    <row r="14" customFormat="false" ht="15" hidden="false" customHeight="true" outlineLevel="0" collapsed="false">
      <c r="B14" s="6" t="s">
        <v>16</v>
      </c>
      <c r="C14" s="5" t="s">
        <v>17</v>
      </c>
    </row>
    <row r="15" customFormat="false" ht="30" hidden="false" customHeight="true" outlineLevel="0" collapsed="false">
      <c r="B15" s="6" t="s">
        <v>18</v>
      </c>
      <c r="C15" s="5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true" outlineLevel="0" collapsed="false">
      <c r="B18" s="6" t="s">
        <v>21</v>
      </c>
      <c r="C18" s="7" t="s">
        <v>22</v>
      </c>
    </row>
    <row r="19" customFormat="false" ht="15" hidden="false" customHeight="true" outlineLevel="0" collapsed="false">
      <c r="B19" s="6" t="s">
        <v>23</v>
      </c>
      <c r="C19" s="5" t="s">
        <v>24</v>
      </c>
    </row>
    <row r="20" customFormat="false" ht="15" hidden="false" customHeight="true" outlineLevel="0" collapsed="false">
      <c r="B20" s="6" t="s">
        <v>25</v>
      </c>
      <c r="C20" s="5" t="s">
        <v>26</v>
      </c>
    </row>
    <row r="21" customFormat="false" ht="15" hidden="false" customHeight="true" outlineLevel="0" collapsed="false">
      <c r="B21" s="6" t="s">
        <v>27</v>
      </c>
      <c r="C21" s="5" t="s">
        <v>28</v>
      </c>
    </row>
    <row r="23" customFormat="false" ht="19.4" hidden="false" customHeight="false" outlineLevel="0" collapsed="false">
      <c r="B23" s="8" t="s">
        <v>29</v>
      </c>
    </row>
    <row r="24" customFormat="false" ht="30" hidden="false" customHeight="true" outlineLevel="0" collapsed="false">
      <c r="B24" s="6" t="s">
        <v>30</v>
      </c>
      <c r="C24" s="5" t="s">
        <v>31</v>
      </c>
    </row>
    <row r="25" customFormat="false" ht="30" hidden="false" customHeight="true" outlineLevel="0" collapsed="false">
      <c r="B25" s="6" t="s">
        <v>32</v>
      </c>
      <c r="C25" s="7" t="s">
        <v>33</v>
      </c>
    </row>
    <row r="26" customFormat="false" ht="15" hidden="false" customHeight="true" outlineLevel="0" collapsed="false">
      <c r="B26" s="6" t="s">
        <v>34</v>
      </c>
      <c r="C26" s="5" t="s">
        <v>35</v>
      </c>
    </row>
    <row r="27" customFormat="false" ht="15" hidden="false" customHeight="true" outlineLevel="0" collapsed="false">
      <c r="B27" s="6" t="s">
        <v>36</v>
      </c>
      <c r="C27" s="7" t="s">
        <v>37</v>
      </c>
    </row>
    <row r="29" customFormat="false" ht="15" hidden="false" customHeight="false" outlineLevel="0" collapsed="false">
      <c r="B29" s="6" t="s">
        <v>38</v>
      </c>
      <c r="C2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6" min="15" style="0" width="13"/>
  </cols>
  <sheetData>
    <row r="1" customFormat="false" ht="30" hidden="false" customHeight="tru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0" t="s">
        <v>51</v>
      </c>
      <c r="M1" s="10" t="s">
        <v>52</v>
      </c>
      <c r="N1" s="10" t="s">
        <v>53</v>
      </c>
      <c r="O1" s="10" t="s">
        <v>54</v>
      </c>
      <c r="P1" s="10" t="s">
        <v>55</v>
      </c>
    </row>
    <row r="2" customFormat="false" ht="15" hidden="false" customHeight="false" outlineLevel="0" collapsed="false">
      <c r="A2" s="11" t="s">
        <v>56</v>
      </c>
      <c r="B2" s="11" t="n">
        <v>1</v>
      </c>
      <c r="C2" s="11" t="n">
        <v>1</v>
      </c>
      <c r="D2" s="11" t="n">
        <v>0</v>
      </c>
      <c r="E2" s="11" t="n">
        <v>0</v>
      </c>
      <c r="F2" s="11" t="n">
        <v>673</v>
      </c>
      <c r="G2" s="12" t="n">
        <v>17.8304</v>
      </c>
      <c r="H2" s="12" t="n">
        <v>42.3927</v>
      </c>
      <c r="I2" s="11"/>
      <c r="J2" s="12"/>
      <c r="K2" s="12"/>
      <c r="L2" s="11"/>
      <c r="M2" s="12"/>
      <c r="N2" s="12"/>
      <c r="O2" s="12" t="n">
        <v>12.5632</v>
      </c>
      <c r="P2" s="12" t="n">
        <v>6.76675</v>
      </c>
    </row>
    <row r="3" customFormat="false" ht="15" hidden="false" customHeight="false" outlineLevel="0" collapsed="false">
      <c r="A3" s="11" t="s">
        <v>56</v>
      </c>
      <c r="B3" s="11" t="n">
        <v>2</v>
      </c>
      <c r="C3" s="11" t="n">
        <v>1</v>
      </c>
      <c r="D3" s="11" t="n">
        <v>0</v>
      </c>
      <c r="E3" s="11" t="n">
        <v>0</v>
      </c>
      <c r="F3" s="11" t="n">
        <v>673</v>
      </c>
      <c r="G3" s="12" t="n">
        <v>17.8411</v>
      </c>
      <c r="H3" s="12" t="n">
        <v>42.3239</v>
      </c>
      <c r="I3" s="11"/>
      <c r="J3" s="12"/>
      <c r="K3" s="12"/>
      <c r="L3" s="11"/>
      <c r="M3" s="12"/>
      <c r="N3" s="12"/>
      <c r="O3" s="12" t="n">
        <v>12.9354</v>
      </c>
      <c r="P3" s="12" t="n">
        <v>6.7556</v>
      </c>
    </row>
    <row r="4" customFormat="false" ht="15" hidden="false" customHeight="false" outlineLevel="0" collapsed="false">
      <c r="A4" s="11" t="s">
        <v>56</v>
      </c>
      <c r="B4" s="11" t="n">
        <v>3</v>
      </c>
      <c r="C4" s="11" t="n">
        <v>1</v>
      </c>
      <c r="D4" s="11" t="n">
        <v>0</v>
      </c>
      <c r="E4" s="11" t="n">
        <v>0</v>
      </c>
      <c r="F4" s="11" t="n">
        <v>673</v>
      </c>
      <c r="G4" s="12" t="n">
        <v>17.8359</v>
      </c>
      <c r="H4" s="12" t="n">
        <v>42.3196</v>
      </c>
      <c r="I4" s="11"/>
      <c r="J4" s="12"/>
      <c r="K4" s="12"/>
      <c r="L4" s="11"/>
      <c r="M4" s="12"/>
      <c r="N4" s="12"/>
      <c r="O4" s="12" t="n">
        <v>12.6818</v>
      </c>
      <c r="P4" s="12" t="n">
        <v>6.89661</v>
      </c>
    </row>
    <row r="5" customFormat="false" ht="15" hidden="false" customHeight="false" outlineLevel="0" collapsed="false">
      <c r="A5" s="11" t="s">
        <v>57</v>
      </c>
      <c r="B5" s="11" t="n">
        <v>1</v>
      </c>
      <c r="C5" s="11" t="n">
        <v>0</v>
      </c>
      <c r="D5" s="11" t="n">
        <v>1</v>
      </c>
      <c r="E5" s="11" t="n">
        <v>0</v>
      </c>
      <c r="F5" s="11"/>
      <c r="G5" s="12"/>
      <c r="H5" s="12"/>
      <c r="I5" s="11" t="n">
        <v>673</v>
      </c>
      <c r="J5" s="12" t="n">
        <v>22.8666</v>
      </c>
      <c r="K5" s="12" t="n">
        <v>34.6485</v>
      </c>
      <c r="L5" s="11"/>
      <c r="M5" s="12"/>
      <c r="N5" s="12"/>
      <c r="O5" s="12" t="n">
        <v>11.2007</v>
      </c>
      <c r="P5" s="12" t="n">
        <v>7.13976</v>
      </c>
    </row>
    <row r="6" customFormat="false" ht="15" hidden="false" customHeight="false" outlineLevel="0" collapsed="false">
      <c r="A6" s="11" t="s">
        <v>57</v>
      </c>
      <c r="B6" s="11" t="n">
        <v>2</v>
      </c>
      <c r="C6" s="11" t="n">
        <v>0</v>
      </c>
      <c r="D6" s="11" t="n">
        <v>1</v>
      </c>
      <c r="E6" s="11" t="n">
        <v>0</v>
      </c>
      <c r="F6" s="11"/>
      <c r="G6" s="12"/>
      <c r="H6" s="12"/>
      <c r="I6" s="11" t="n">
        <v>673</v>
      </c>
      <c r="J6" s="12" t="n">
        <v>22.7856</v>
      </c>
      <c r="K6" s="12" t="n">
        <v>34.7642</v>
      </c>
      <c r="L6" s="11"/>
      <c r="M6" s="12"/>
      <c r="N6" s="12"/>
      <c r="O6" s="12" t="n">
        <v>10.8915</v>
      </c>
      <c r="P6" s="12" t="n">
        <v>6.86516</v>
      </c>
    </row>
    <row r="7" customFormat="false" ht="15" hidden="false" customHeight="false" outlineLevel="0" collapsed="false">
      <c r="A7" s="11" t="s">
        <v>57</v>
      </c>
      <c r="B7" s="11" t="n">
        <v>3</v>
      </c>
      <c r="C7" s="11" t="n">
        <v>0</v>
      </c>
      <c r="D7" s="11" t="n">
        <v>1</v>
      </c>
      <c r="E7" s="11" t="n">
        <v>0</v>
      </c>
      <c r="F7" s="11"/>
      <c r="G7" s="12"/>
      <c r="H7" s="12"/>
      <c r="I7" s="11" t="n">
        <v>673</v>
      </c>
      <c r="J7" s="12" t="n">
        <v>22.8762</v>
      </c>
      <c r="K7" s="12" t="n">
        <v>34.6504</v>
      </c>
      <c r="L7" s="11"/>
      <c r="M7" s="12"/>
      <c r="N7" s="12"/>
      <c r="O7" s="12" t="n">
        <v>10.6852</v>
      </c>
      <c r="P7" s="12" t="n">
        <v>6.86174</v>
      </c>
    </row>
    <row r="8" customFormat="false" ht="15" hidden="false" customHeight="false" outlineLevel="0" collapsed="false">
      <c r="A8" s="11" t="s">
        <v>58</v>
      </c>
      <c r="B8" s="11" t="n">
        <v>1</v>
      </c>
      <c r="C8" s="11" t="n">
        <v>0</v>
      </c>
      <c r="D8" s="11" t="n">
        <v>0</v>
      </c>
      <c r="E8" s="11" t="n">
        <v>1</v>
      </c>
      <c r="F8" s="11"/>
      <c r="G8" s="12"/>
      <c r="H8" s="12"/>
      <c r="I8" s="11"/>
      <c r="J8" s="12"/>
      <c r="K8" s="12"/>
      <c r="L8" s="11" t="n">
        <v>673</v>
      </c>
      <c r="M8" s="12" t="n">
        <v>17.8263</v>
      </c>
      <c r="N8" s="12" t="n">
        <v>42.339</v>
      </c>
      <c r="O8" s="12" t="n">
        <v>13.0519</v>
      </c>
      <c r="P8" s="12" t="n">
        <v>6.98292</v>
      </c>
    </row>
    <row r="9" customFormat="false" ht="15" hidden="false" customHeight="false" outlineLevel="0" collapsed="false">
      <c r="A9" s="11" t="s">
        <v>58</v>
      </c>
      <c r="B9" s="11" t="n">
        <v>2</v>
      </c>
      <c r="C9" s="11" t="n">
        <v>0</v>
      </c>
      <c r="D9" s="11" t="n">
        <v>0</v>
      </c>
      <c r="E9" s="11" t="n">
        <v>1</v>
      </c>
      <c r="F9" s="11"/>
      <c r="G9" s="12"/>
      <c r="H9" s="12"/>
      <c r="I9" s="11"/>
      <c r="J9" s="12"/>
      <c r="K9" s="12"/>
      <c r="L9" s="11" t="n">
        <v>673</v>
      </c>
      <c r="M9" s="12" t="n">
        <v>17.8201</v>
      </c>
      <c r="N9" s="12" t="n">
        <v>42.3792</v>
      </c>
      <c r="O9" s="12" t="n">
        <v>12.3875</v>
      </c>
      <c r="P9" s="12" t="n">
        <v>7.01595</v>
      </c>
    </row>
    <row r="10" customFormat="false" ht="15" hidden="false" customHeight="false" outlineLevel="0" collapsed="false">
      <c r="A10" s="11" t="s">
        <v>58</v>
      </c>
      <c r="B10" s="11" t="n">
        <v>3</v>
      </c>
      <c r="C10" s="11" t="n">
        <v>0</v>
      </c>
      <c r="D10" s="11" t="n">
        <v>0</v>
      </c>
      <c r="E10" s="11" t="n">
        <v>1</v>
      </c>
      <c r="F10" s="11"/>
      <c r="G10" s="12"/>
      <c r="H10" s="12"/>
      <c r="I10" s="11"/>
      <c r="J10" s="12"/>
      <c r="K10" s="12"/>
      <c r="L10" s="11" t="n">
        <v>673</v>
      </c>
      <c r="M10" s="12" t="n">
        <v>17.8074</v>
      </c>
      <c r="N10" s="12" t="n">
        <v>42.4043</v>
      </c>
      <c r="O10" s="12" t="n">
        <v>12.7382</v>
      </c>
      <c r="P10" s="12" t="n">
        <v>6.93609</v>
      </c>
    </row>
    <row r="11" customFormat="false" ht="15" hidden="false" customHeight="false" outlineLevel="0" collapsed="false">
      <c r="A11" s="11" t="s">
        <v>59</v>
      </c>
      <c r="B11" s="11" t="n">
        <v>1</v>
      </c>
      <c r="C11" s="11" t="n">
        <v>1</v>
      </c>
      <c r="D11" s="11" t="n">
        <v>1</v>
      </c>
      <c r="E11" s="11" t="n">
        <v>0</v>
      </c>
      <c r="F11" s="11" t="n">
        <v>673</v>
      </c>
      <c r="G11" s="12" t="n">
        <v>25.1379</v>
      </c>
      <c r="H11" s="12" t="n">
        <v>32.0692</v>
      </c>
      <c r="I11" s="11" t="n">
        <v>673</v>
      </c>
      <c r="J11" s="12" t="n">
        <v>25.1126</v>
      </c>
      <c r="K11" s="12" t="n">
        <v>32.0779</v>
      </c>
      <c r="L11" s="11"/>
      <c r="M11" s="12"/>
      <c r="N11" s="12"/>
      <c r="O11" s="12" t="n">
        <v>19.196</v>
      </c>
      <c r="P11" s="12" t="n">
        <v>7.70133</v>
      </c>
    </row>
    <row r="12" customFormat="false" ht="15" hidden="false" customHeight="false" outlineLevel="0" collapsed="false">
      <c r="A12" s="11" t="s">
        <v>59</v>
      </c>
      <c r="B12" s="11" t="n">
        <v>2</v>
      </c>
      <c r="C12" s="11" t="n">
        <v>1</v>
      </c>
      <c r="D12" s="11" t="n">
        <v>1</v>
      </c>
      <c r="E12" s="11" t="n">
        <v>0</v>
      </c>
      <c r="F12" s="11" t="n">
        <v>673</v>
      </c>
      <c r="G12" s="12" t="n">
        <v>25.1973</v>
      </c>
      <c r="H12" s="12" t="n">
        <v>32.1646</v>
      </c>
      <c r="I12" s="11" t="n">
        <v>673</v>
      </c>
      <c r="J12" s="12" t="n">
        <v>25.1336</v>
      </c>
      <c r="K12" s="12" t="n">
        <v>32.1747</v>
      </c>
      <c r="L12" s="11"/>
      <c r="M12" s="12"/>
      <c r="N12" s="12"/>
      <c r="O12" s="12" t="n">
        <v>18.9294</v>
      </c>
      <c r="P12" s="12" t="n">
        <v>7.87561</v>
      </c>
    </row>
    <row r="13" customFormat="false" ht="15" hidden="false" customHeight="false" outlineLevel="0" collapsed="false">
      <c r="A13" s="11" t="s">
        <v>59</v>
      </c>
      <c r="B13" s="11" t="n">
        <v>3</v>
      </c>
      <c r="C13" s="11" t="n">
        <v>1</v>
      </c>
      <c r="D13" s="11" t="n">
        <v>1</v>
      </c>
      <c r="E13" s="11" t="n">
        <v>0</v>
      </c>
      <c r="F13" s="11" t="n">
        <v>673</v>
      </c>
      <c r="G13" s="12" t="n">
        <v>25.1352</v>
      </c>
      <c r="H13" s="12" t="n">
        <v>31.8643</v>
      </c>
      <c r="I13" s="11" t="n">
        <v>673</v>
      </c>
      <c r="J13" s="12" t="n">
        <v>25.236</v>
      </c>
      <c r="K13" s="12" t="n">
        <v>31.705</v>
      </c>
      <c r="L13" s="11"/>
      <c r="M13" s="12"/>
      <c r="N13" s="12"/>
      <c r="O13" s="12" t="n">
        <v>19.3373</v>
      </c>
      <c r="P13" s="12" t="n">
        <v>8.01206</v>
      </c>
    </row>
    <row r="14" customFormat="false" ht="15" hidden="false" customHeight="false" outlineLevel="0" collapsed="false">
      <c r="A14" s="11" t="s">
        <v>60</v>
      </c>
      <c r="B14" s="11" t="n">
        <v>1</v>
      </c>
      <c r="C14" s="11" t="n">
        <v>1</v>
      </c>
      <c r="D14" s="11" t="n">
        <v>0</v>
      </c>
      <c r="E14" s="11" t="n">
        <v>1</v>
      </c>
      <c r="F14" s="11" t="n">
        <v>673</v>
      </c>
      <c r="G14" s="12" t="n">
        <v>20.7708</v>
      </c>
      <c r="H14" s="12" t="n">
        <v>38.0996</v>
      </c>
      <c r="I14" s="11"/>
      <c r="J14" s="12"/>
      <c r="K14" s="12"/>
      <c r="L14" s="11" t="n">
        <v>673</v>
      </c>
      <c r="M14" s="12" t="n">
        <v>20.7974</v>
      </c>
      <c r="N14" s="12" t="n">
        <v>38.0819</v>
      </c>
      <c r="O14" s="12" t="n">
        <v>21.098</v>
      </c>
      <c r="P14" s="12" t="n">
        <v>7.70003</v>
      </c>
    </row>
    <row r="15" customFormat="false" ht="15" hidden="false" customHeight="false" outlineLevel="0" collapsed="false">
      <c r="A15" s="11" t="s">
        <v>60</v>
      </c>
      <c r="B15" s="11" t="n">
        <v>2</v>
      </c>
      <c r="C15" s="11" t="n">
        <v>1</v>
      </c>
      <c r="D15" s="11" t="n">
        <v>0</v>
      </c>
      <c r="E15" s="11" t="n">
        <v>1</v>
      </c>
      <c r="F15" s="11" t="n">
        <v>673</v>
      </c>
      <c r="G15" s="12" t="n">
        <v>20.648</v>
      </c>
      <c r="H15" s="12" t="n">
        <v>39.0165</v>
      </c>
      <c r="I15" s="11"/>
      <c r="J15" s="12"/>
      <c r="K15" s="12"/>
      <c r="L15" s="11" t="n">
        <v>673</v>
      </c>
      <c r="M15" s="12" t="n">
        <v>20.6479</v>
      </c>
      <c r="N15" s="12" t="n">
        <v>39.0582</v>
      </c>
      <c r="O15" s="12" t="n">
        <v>20.6702</v>
      </c>
      <c r="P15" s="12" t="n">
        <v>7.97209</v>
      </c>
    </row>
    <row r="16" customFormat="false" ht="15" hidden="false" customHeight="false" outlineLevel="0" collapsed="false">
      <c r="A16" s="11" t="s">
        <v>60</v>
      </c>
      <c r="B16" s="11" t="n">
        <v>3</v>
      </c>
      <c r="C16" s="11" t="n">
        <v>1</v>
      </c>
      <c r="D16" s="11" t="n">
        <v>0</v>
      </c>
      <c r="E16" s="11" t="n">
        <v>1</v>
      </c>
      <c r="F16" s="11" t="n">
        <v>673</v>
      </c>
      <c r="G16" s="12" t="n">
        <v>20.753</v>
      </c>
      <c r="H16" s="12" t="n">
        <v>37.5919</v>
      </c>
      <c r="I16" s="11"/>
      <c r="J16" s="12"/>
      <c r="K16" s="12"/>
      <c r="L16" s="11" t="n">
        <v>673</v>
      </c>
      <c r="M16" s="12" t="n">
        <v>20.7897</v>
      </c>
      <c r="N16" s="12" t="n">
        <v>37.5733</v>
      </c>
      <c r="O16" s="12" t="n">
        <v>21.9111</v>
      </c>
      <c r="P16" s="12" t="n">
        <v>7.76571</v>
      </c>
    </row>
    <row r="17" customFormat="false" ht="15" hidden="false" customHeight="false" outlineLevel="0" collapsed="false">
      <c r="A17" s="11" t="s">
        <v>61</v>
      </c>
      <c r="B17" s="11" t="n">
        <v>1</v>
      </c>
      <c r="C17" s="11" t="n">
        <v>0</v>
      </c>
      <c r="D17" s="11" t="n">
        <v>1</v>
      </c>
      <c r="E17" s="11" t="n">
        <v>1</v>
      </c>
      <c r="F17" s="11"/>
      <c r="G17" s="12"/>
      <c r="H17" s="12"/>
      <c r="I17" s="11" t="n">
        <v>673</v>
      </c>
      <c r="J17" s="12" t="n">
        <v>25.5755</v>
      </c>
      <c r="K17" s="12" t="n">
        <v>31.5674</v>
      </c>
      <c r="L17" s="11" t="n">
        <v>673</v>
      </c>
      <c r="M17" s="12" t="n">
        <v>25.6016</v>
      </c>
      <c r="N17" s="12" t="n">
        <v>31.602</v>
      </c>
      <c r="O17" s="12" t="n">
        <v>18.8527</v>
      </c>
      <c r="P17" s="12" t="n">
        <v>8.41386</v>
      </c>
    </row>
    <row r="18" customFormat="false" ht="15" hidden="false" customHeight="false" outlineLevel="0" collapsed="false">
      <c r="A18" s="11" t="s">
        <v>61</v>
      </c>
      <c r="B18" s="11" t="n">
        <v>2</v>
      </c>
      <c r="C18" s="11" t="n">
        <v>0</v>
      </c>
      <c r="D18" s="11" t="n">
        <v>1</v>
      </c>
      <c r="E18" s="11" t="n">
        <v>1</v>
      </c>
      <c r="F18" s="11"/>
      <c r="G18" s="12"/>
      <c r="H18" s="12"/>
      <c r="I18" s="11" t="n">
        <v>673</v>
      </c>
      <c r="J18" s="12" t="n">
        <v>25.5398</v>
      </c>
      <c r="K18" s="12" t="n">
        <v>31.5427</v>
      </c>
      <c r="L18" s="11" t="n">
        <v>673</v>
      </c>
      <c r="M18" s="12" t="n">
        <v>25.5175</v>
      </c>
      <c r="N18" s="12" t="n">
        <v>31.7038</v>
      </c>
      <c r="O18" s="12" t="n">
        <v>18.9307</v>
      </c>
      <c r="P18" s="12" t="n">
        <v>8.28194</v>
      </c>
    </row>
    <row r="19" customFormat="false" ht="15" hidden="false" customHeight="false" outlineLevel="0" collapsed="false">
      <c r="A19" s="11" t="s">
        <v>61</v>
      </c>
      <c r="B19" s="11" t="n">
        <v>3</v>
      </c>
      <c r="C19" s="11" t="n">
        <v>0</v>
      </c>
      <c r="D19" s="11" t="n">
        <v>1</v>
      </c>
      <c r="E19" s="11" t="n">
        <v>1</v>
      </c>
      <c r="F19" s="11"/>
      <c r="G19" s="12"/>
      <c r="H19" s="12"/>
      <c r="I19" s="11" t="n">
        <v>673</v>
      </c>
      <c r="J19" s="12" t="n">
        <v>25.4557</v>
      </c>
      <c r="K19" s="12" t="n">
        <v>31.6393</v>
      </c>
      <c r="L19" s="11" t="n">
        <v>673</v>
      </c>
      <c r="M19" s="12" t="n">
        <v>25.5758</v>
      </c>
      <c r="N19" s="12" t="n">
        <v>31.6292</v>
      </c>
      <c r="O19" s="12" t="n">
        <v>19.3629</v>
      </c>
      <c r="P19" s="12" t="n">
        <v>7.8658</v>
      </c>
    </row>
    <row r="20" customFormat="false" ht="15" hidden="false" customHeight="false" outlineLevel="0" collapsed="false">
      <c r="A20" s="11" t="s">
        <v>62</v>
      </c>
      <c r="B20" s="11" t="n">
        <v>1</v>
      </c>
      <c r="C20" s="11" t="n">
        <v>1</v>
      </c>
      <c r="D20" s="11" t="n">
        <v>1</v>
      </c>
      <c r="E20" s="11" t="n">
        <v>1</v>
      </c>
      <c r="F20" s="11" t="n">
        <v>673</v>
      </c>
      <c r="G20" s="12" t="n">
        <v>25.8857</v>
      </c>
      <c r="H20" s="12" t="n">
        <v>31.7946</v>
      </c>
      <c r="I20" s="11" t="n">
        <v>673</v>
      </c>
      <c r="J20" s="12" t="n">
        <v>25.7333</v>
      </c>
      <c r="K20" s="12" t="n">
        <v>31.8209</v>
      </c>
      <c r="L20" s="11" t="n">
        <v>673</v>
      </c>
      <c r="M20" s="12" t="n">
        <v>25.8202</v>
      </c>
      <c r="N20" s="12" t="n">
        <v>31.811</v>
      </c>
      <c r="O20" s="12" t="n">
        <v>27.0438</v>
      </c>
      <c r="P20" s="12" t="n">
        <v>8.69201</v>
      </c>
    </row>
    <row r="21" customFormat="false" ht="15" hidden="false" customHeight="false" outlineLevel="0" collapsed="false">
      <c r="A21" s="11" t="s">
        <v>62</v>
      </c>
      <c r="B21" s="11" t="n">
        <v>2</v>
      </c>
      <c r="C21" s="11" t="n">
        <v>1</v>
      </c>
      <c r="D21" s="11" t="n">
        <v>1</v>
      </c>
      <c r="E21" s="11" t="n">
        <v>1</v>
      </c>
      <c r="F21" s="11" t="n">
        <v>673</v>
      </c>
      <c r="G21" s="12" t="n">
        <v>26.0548</v>
      </c>
      <c r="H21" s="12" t="n">
        <v>32.0173</v>
      </c>
      <c r="I21" s="11" t="n">
        <v>673</v>
      </c>
      <c r="J21" s="12" t="n">
        <v>25.9916</v>
      </c>
      <c r="K21" s="12" t="n">
        <v>31.9817</v>
      </c>
      <c r="L21" s="11" t="n">
        <v>673</v>
      </c>
      <c r="M21" s="12" t="n">
        <v>25.9367</v>
      </c>
      <c r="N21" s="12" t="n">
        <v>32.112</v>
      </c>
      <c r="O21" s="12" t="n">
        <v>25.5871</v>
      </c>
      <c r="P21" s="12" t="n">
        <v>8.32395</v>
      </c>
    </row>
    <row r="22" customFormat="false" ht="15" hidden="false" customHeight="false" outlineLevel="0" collapsed="false">
      <c r="A22" s="11" t="s">
        <v>62</v>
      </c>
      <c r="B22" s="11" t="n">
        <v>3</v>
      </c>
      <c r="C22" s="11" t="n">
        <v>1</v>
      </c>
      <c r="D22" s="11" t="n">
        <v>1</v>
      </c>
      <c r="E22" s="11" t="n">
        <v>1</v>
      </c>
      <c r="F22" s="11" t="n">
        <v>673</v>
      </c>
      <c r="G22" s="12" t="n">
        <v>25.8685</v>
      </c>
      <c r="H22" s="12" t="n">
        <v>31.3252</v>
      </c>
      <c r="I22" s="11" t="n">
        <v>673</v>
      </c>
      <c r="J22" s="12" t="n">
        <v>25.7296</v>
      </c>
      <c r="K22" s="12" t="n">
        <v>31.3042</v>
      </c>
      <c r="L22" s="11" t="n">
        <v>673</v>
      </c>
      <c r="M22" s="12" t="n">
        <v>25.8232</v>
      </c>
      <c r="N22" s="12" t="n">
        <v>31.2963</v>
      </c>
      <c r="O22" s="12" t="n">
        <v>28.2132</v>
      </c>
      <c r="P22" s="12" t="n">
        <v>8.35405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7" min="15" style="0" width="13"/>
    <col collapsed="false" customWidth="true" hidden="false" outlineLevel="0" max="18" min="18" style="0" width="12"/>
    <col collapsed="false" customWidth="true" hidden="false" outlineLevel="0" max="20" min="19" style="0" width="19"/>
    <col collapsed="false" customWidth="true" hidden="false" outlineLevel="0" max="22" min="21" style="0" width="17"/>
    <col collapsed="false" customWidth="true" hidden="false" outlineLevel="0" max="23" min="23" style="0" width="18"/>
    <col collapsed="false" customWidth="true" hidden="false" outlineLevel="0" max="29" min="24" style="0" width="19"/>
  </cols>
  <sheetData>
    <row r="1" customFormat="false" ht="30" hidden="false" customHeight="tru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0" t="s">
        <v>51</v>
      </c>
      <c r="M1" s="10" t="s">
        <v>52</v>
      </c>
      <c r="N1" s="10" t="s">
        <v>53</v>
      </c>
      <c r="O1" s="10" t="s">
        <v>54</v>
      </c>
      <c r="P1" s="10" t="s">
        <v>55</v>
      </c>
      <c r="Q1" s="10" t="s">
        <v>63</v>
      </c>
      <c r="R1" s="10" t="s">
        <v>64</v>
      </c>
      <c r="S1" s="10" t="s">
        <v>65</v>
      </c>
      <c r="T1" s="10" t="s">
        <v>66</v>
      </c>
      <c r="U1" s="10" t="s">
        <v>67</v>
      </c>
      <c r="V1" s="10" t="s">
        <v>68</v>
      </c>
      <c r="W1" s="10" t="s">
        <v>69</v>
      </c>
      <c r="X1" s="10" t="s">
        <v>70</v>
      </c>
      <c r="Y1" s="10" t="s">
        <v>71</v>
      </c>
      <c r="Z1" s="10" t="s">
        <v>72</v>
      </c>
      <c r="AA1" s="10" t="s">
        <v>73</v>
      </c>
      <c r="AB1" s="10" t="s">
        <v>74</v>
      </c>
      <c r="AC1" s="10" t="s">
        <v>75</v>
      </c>
    </row>
    <row r="2" customFormat="false" ht="15" hidden="false" customHeight="false" outlineLevel="0" collapsed="false">
      <c r="A2" s="11" t="s">
        <v>56</v>
      </c>
      <c r="B2" s="11" t="n">
        <v>1</v>
      </c>
      <c r="C2" s="11" t="n">
        <v>1</v>
      </c>
      <c r="D2" s="11" t="n">
        <v>0</v>
      </c>
      <c r="E2" s="11" t="n">
        <v>0</v>
      </c>
      <c r="F2" s="11" t="n">
        <v>673</v>
      </c>
      <c r="G2" s="12" t="n">
        <v>19.0571</v>
      </c>
      <c r="H2" s="12" t="n">
        <v>40.0426</v>
      </c>
      <c r="I2" s="11"/>
      <c r="J2" s="12"/>
      <c r="K2" s="12"/>
      <c r="L2" s="11"/>
      <c r="M2" s="12"/>
      <c r="N2" s="12"/>
      <c r="O2" s="12" t="n">
        <v>13.11</v>
      </c>
      <c r="P2" s="12" t="n">
        <v>8.06216</v>
      </c>
      <c r="Q2" s="13" t="n">
        <v>23.0938</v>
      </c>
      <c r="R2" s="13" t="n">
        <v>16.8074</v>
      </c>
      <c r="S2" s="13" t="n">
        <v>673</v>
      </c>
      <c r="T2" s="13" t="n">
        <v>329</v>
      </c>
      <c r="U2" s="13" t="n">
        <v>41.4337</v>
      </c>
      <c r="V2" s="13"/>
      <c r="W2" s="13"/>
      <c r="X2" s="13" t="n">
        <v>5.8388</v>
      </c>
      <c r="Y2" s="13"/>
      <c r="Z2" s="13"/>
      <c r="AA2" s="13" t="n">
        <v>24.8959</v>
      </c>
      <c r="AB2" s="13"/>
      <c r="AC2" s="13"/>
    </row>
    <row r="3" customFormat="false" ht="15" hidden="false" customHeight="false" outlineLevel="0" collapsed="false">
      <c r="A3" s="11" t="s">
        <v>56</v>
      </c>
      <c r="B3" s="11" t="n">
        <v>2</v>
      </c>
      <c r="C3" s="11" t="n">
        <v>1</v>
      </c>
      <c r="D3" s="11" t="n">
        <v>0</v>
      </c>
      <c r="E3" s="11" t="n">
        <v>0</v>
      </c>
      <c r="F3" s="11" t="n">
        <v>673</v>
      </c>
      <c r="G3" s="12" t="n">
        <v>19.1152</v>
      </c>
      <c r="H3" s="12" t="n">
        <v>40.0537</v>
      </c>
      <c r="I3" s="11"/>
      <c r="J3" s="12"/>
      <c r="K3" s="12"/>
      <c r="L3" s="11"/>
      <c r="M3" s="12"/>
      <c r="N3" s="12"/>
      <c r="O3" s="12" t="n">
        <v>12.5524</v>
      </c>
      <c r="P3" s="12" t="n">
        <v>7.89975</v>
      </c>
      <c r="Q3" s="13" t="n">
        <v>23.4375</v>
      </c>
      <c r="R3" s="13" t="n">
        <v>16.8028</v>
      </c>
      <c r="S3" s="13" t="n">
        <v>675</v>
      </c>
      <c r="T3" s="13" t="n">
        <v>147</v>
      </c>
      <c r="U3" s="13" t="n">
        <v>49.4966</v>
      </c>
      <c r="V3" s="13"/>
      <c r="W3" s="13"/>
      <c r="X3" s="13" t="n">
        <v>5.77611</v>
      </c>
      <c r="Y3" s="13"/>
      <c r="Z3" s="13"/>
      <c r="AA3" s="13" t="n">
        <v>24.8913</v>
      </c>
      <c r="AB3" s="13"/>
      <c r="AC3" s="13"/>
    </row>
    <row r="4" customFormat="false" ht="15" hidden="false" customHeight="false" outlineLevel="0" collapsed="false">
      <c r="A4" s="11" t="s">
        <v>56</v>
      </c>
      <c r="B4" s="11" t="n">
        <v>3</v>
      </c>
      <c r="C4" s="11" t="n">
        <v>1</v>
      </c>
      <c r="D4" s="11" t="n">
        <v>0</v>
      </c>
      <c r="E4" s="11" t="n">
        <v>0</v>
      </c>
      <c r="F4" s="11" t="n">
        <v>673</v>
      </c>
      <c r="G4" s="12" t="n">
        <v>19.3373</v>
      </c>
      <c r="H4" s="12" t="n">
        <v>39.6516</v>
      </c>
      <c r="I4" s="11"/>
      <c r="J4" s="12"/>
      <c r="K4" s="12"/>
      <c r="L4" s="11"/>
      <c r="M4" s="12"/>
      <c r="N4" s="12"/>
      <c r="O4" s="12" t="n">
        <v>12.1497</v>
      </c>
      <c r="P4" s="12" t="n">
        <v>7.85803</v>
      </c>
      <c r="Q4" s="13" t="n">
        <v>23.2375</v>
      </c>
      <c r="R4" s="13" t="n">
        <v>16.9732</v>
      </c>
      <c r="S4" s="13" t="n">
        <v>675</v>
      </c>
      <c r="T4" s="13" t="n">
        <v>170</v>
      </c>
      <c r="U4" s="13" t="n">
        <v>46.8777</v>
      </c>
      <c r="V4" s="13"/>
      <c r="W4" s="13"/>
      <c r="X4" s="13" t="n">
        <v>5.80686</v>
      </c>
      <c r="Y4" s="13"/>
      <c r="Z4" s="13"/>
      <c r="AA4" s="13" t="n">
        <v>25.1442</v>
      </c>
      <c r="AB4" s="13"/>
      <c r="AC4" s="13"/>
    </row>
    <row r="5" customFormat="false" ht="15" hidden="false" customHeight="false" outlineLevel="0" collapsed="false">
      <c r="A5" s="11" t="s">
        <v>57</v>
      </c>
      <c r="B5" s="11" t="n">
        <v>1</v>
      </c>
      <c r="C5" s="11" t="n">
        <v>0</v>
      </c>
      <c r="D5" s="11" t="n">
        <v>1</v>
      </c>
      <c r="E5" s="11" t="n">
        <v>0</v>
      </c>
      <c r="F5" s="11"/>
      <c r="G5" s="12"/>
      <c r="H5" s="12"/>
      <c r="I5" s="11" t="n">
        <v>673</v>
      </c>
      <c r="J5" s="12" t="n">
        <v>24.7275</v>
      </c>
      <c r="K5" s="12" t="n">
        <v>32.4839</v>
      </c>
      <c r="L5" s="11"/>
      <c r="M5" s="12"/>
      <c r="N5" s="12"/>
      <c r="O5" s="12" t="n">
        <v>10.5739</v>
      </c>
      <c r="P5" s="12" t="n">
        <v>8.10017</v>
      </c>
      <c r="Q5" s="13" t="n">
        <v>23.0105</v>
      </c>
      <c r="R5" s="13" t="n">
        <v>20.7183</v>
      </c>
      <c r="S5" s="13" t="n">
        <v>674</v>
      </c>
      <c r="T5" s="13" t="n">
        <v>259</v>
      </c>
      <c r="U5" s="13"/>
      <c r="V5" s="13" t="n">
        <v>54.4476</v>
      </c>
      <c r="W5" s="13"/>
      <c r="X5" s="13"/>
      <c r="Y5" s="13" t="n">
        <v>5.9801</v>
      </c>
      <c r="Z5" s="13"/>
      <c r="AA5" s="13"/>
      <c r="AB5" s="13" t="n">
        <v>30.7076</v>
      </c>
      <c r="AC5" s="13"/>
    </row>
    <row r="6" customFormat="false" ht="15" hidden="false" customHeight="false" outlineLevel="0" collapsed="false">
      <c r="A6" s="11" t="s">
        <v>57</v>
      </c>
      <c r="B6" s="11" t="n">
        <v>2</v>
      </c>
      <c r="C6" s="11" t="n">
        <v>0</v>
      </c>
      <c r="D6" s="11" t="n">
        <v>1</v>
      </c>
      <c r="E6" s="11" t="n">
        <v>0</v>
      </c>
      <c r="F6" s="11"/>
      <c r="G6" s="12"/>
      <c r="H6" s="12"/>
      <c r="I6" s="11" t="n">
        <v>673</v>
      </c>
      <c r="J6" s="12" t="n">
        <v>24.573</v>
      </c>
      <c r="K6" s="12" t="n">
        <v>32.6174</v>
      </c>
      <c r="L6" s="11"/>
      <c r="M6" s="12"/>
      <c r="N6" s="12"/>
      <c r="O6" s="12" t="n">
        <v>10.8267</v>
      </c>
      <c r="P6" s="12" t="n">
        <v>8.15555</v>
      </c>
      <c r="Q6" s="13" t="n">
        <v>23.0842</v>
      </c>
      <c r="R6" s="13" t="n">
        <v>20.6335</v>
      </c>
      <c r="S6" s="13" t="n">
        <v>676</v>
      </c>
      <c r="T6" s="13" t="n">
        <v>318</v>
      </c>
      <c r="U6" s="13"/>
      <c r="V6" s="13" t="n">
        <v>55.9049</v>
      </c>
      <c r="W6" s="13"/>
      <c r="X6" s="13"/>
      <c r="Y6" s="13" t="n">
        <v>6.00668</v>
      </c>
      <c r="Z6" s="13"/>
      <c r="AA6" s="13"/>
      <c r="AB6" s="13" t="n">
        <v>30.5797</v>
      </c>
      <c r="AC6" s="13"/>
    </row>
    <row r="7" customFormat="false" ht="15" hidden="false" customHeight="false" outlineLevel="0" collapsed="false">
      <c r="A7" s="11" t="s">
        <v>57</v>
      </c>
      <c r="B7" s="11" t="n">
        <v>3</v>
      </c>
      <c r="C7" s="11" t="n">
        <v>0</v>
      </c>
      <c r="D7" s="11" t="n">
        <v>1</v>
      </c>
      <c r="E7" s="11" t="n">
        <v>0</v>
      </c>
      <c r="F7" s="11"/>
      <c r="G7" s="12"/>
      <c r="H7" s="12"/>
      <c r="I7" s="11" t="n">
        <v>673</v>
      </c>
      <c r="J7" s="12" t="n">
        <v>24.7931</v>
      </c>
      <c r="K7" s="12" t="n">
        <v>32.8669</v>
      </c>
      <c r="L7" s="11"/>
      <c r="M7" s="12"/>
      <c r="N7" s="12"/>
      <c r="O7" s="12" t="n">
        <v>10.0717</v>
      </c>
      <c r="P7" s="12" t="n">
        <v>8.05102</v>
      </c>
      <c r="Q7" s="13" t="n">
        <v>22.8579</v>
      </c>
      <c r="R7" s="13" t="n">
        <v>20.4769</v>
      </c>
      <c r="S7" s="13" t="n">
        <v>675</v>
      </c>
      <c r="T7" s="13" t="n">
        <v>95</v>
      </c>
      <c r="U7" s="13"/>
      <c r="V7" s="13" t="n">
        <v>61.3205</v>
      </c>
      <c r="W7" s="13"/>
      <c r="X7" s="13"/>
      <c r="Y7" s="13" t="n">
        <v>5.55793</v>
      </c>
      <c r="Z7" s="13"/>
      <c r="AA7" s="13"/>
      <c r="AB7" s="13" t="n">
        <v>30.3511</v>
      </c>
      <c r="AC7" s="13"/>
    </row>
    <row r="8" customFormat="false" ht="15" hidden="false" customHeight="false" outlineLevel="0" collapsed="false">
      <c r="A8" s="11" t="s">
        <v>58</v>
      </c>
      <c r="B8" s="11" t="n">
        <v>1</v>
      </c>
      <c r="C8" s="11" t="n">
        <v>0</v>
      </c>
      <c r="D8" s="11" t="n">
        <v>0</v>
      </c>
      <c r="E8" s="11" t="n">
        <v>1</v>
      </c>
      <c r="F8" s="11"/>
      <c r="G8" s="12"/>
      <c r="H8" s="12"/>
      <c r="I8" s="11"/>
      <c r="J8" s="12"/>
      <c r="K8" s="12"/>
      <c r="L8" s="11" t="n">
        <v>673</v>
      </c>
      <c r="M8" s="12" t="n">
        <v>19.5584</v>
      </c>
      <c r="N8" s="12" t="n">
        <v>39.3025</v>
      </c>
      <c r="O8" s="12" t="n">
        <v>11.9762</v>
      </c>
      <c r="P8" s="12" t="n">
        <v>8.03792</v>
      </c>
      <c r="Q8" s="13" t="n">
        <v>25.375</v>
      </c>
      <c r="R8" s="13" t="n">
        <v>17.1239</v>
      </c>
      <c r="S8" s="13" t="n">
        <v>674</v>
      </c>
      <c r="T8" s="13" t="n">
        <v>179</v>
      </c>
      <c r="U8" s="13"/>
      <c r="V8" s="13"/>
      <c r="W8" s="13" t="n">
        <v>51.2653</v>
      </c>
      <c r="X8" s="13"/>
      <c r="Y8" s="13"/>
      <c r="Z8" s="13" t="n">
        <v>5.80948</v>
      </c>
      <c r="AA8" s="13"/>
      <c r="AB8" s="13"/>
      <c r="AC8" s="13" t="n">
        <v>25.3679</v>
      </c>
    </row>
    <row r="9" customFormat="false" ht="15" hidden="false" customHeight="false" outlineLevel="0" collapsed="false">
      <c r="A9" s="11" t="s">
        <v>58</v>
      </c>
      <c r="B9" s="11" t="n">
        <v>2</v>
      </c>
      <c r="C9" s="11" t="n">
        <v>0</v>
      </c>
      <c r="D9" s="11" t="n">
        <v>0</v>
      </c>
      <c r="E9" s="11" t="n">
        <v>1</v>
      </c>
      <c r="F9" s="11"/>
      <c r="G9" s="12"/>
      <c r="H9" s="12"/>
      <c r="I9" s="11"/>
      <c r="J9" s="12"/>
      <c r="K9" s="12"/>
      <c r="L9" s="11" t="n">
        <v>673</v>
      </c>
      <c r="M9" s="12" t="n">
        <v>19.512</v>
      </c>
      <c r="N9" s="12" t="n">
        <v>39.3206</v>
      </c>
      <c r="O9" s="12" t="n">
        <v>12.5338</v>
      </c>
      <c r="P9" s="12" t="n">
        <v>8.01632</v>
      </c>
      <c r="Q9" s="13" t="n">
        <v>25.9813</v>
      </c>
      <c r="R9" s="13" t="n">
        <v>17.116</v>
      </c>
      <c r="S9" s="13" t="n">
        <v>675</v>
      </c>
      <c r="T9" s="13" t="n">
        <v>80</v>
      </c>
      <c r="U9" s="13"/>
      <c r="V9" s="13"/>
      <c r="W9" s="13" t="n">
        <v>44.7164</v>
      </c>
      <c r="X9" s="13"/>
      <c r="Y9" s="13"/>
      <c r="Z9" s="13" t="n">
        <v>5.84432</v>
      </c>
      <c r="AA9" s="13"/>
      <c r="AB9" s="13"/>
      <c r="AC9" s="13" t="n">
        <v>25.3563</v>
      </c>
    </row>
    <row r="10" customFormat="false" ht="15" hidden="false" customHeight="false" outlineLevel="0" collapsed="false">
      <c r="A10" s="11" t="s">
        <v>58</v>
      </c>
      <c r="B10" s="11" t="n">
        <v>3</v>
      </c>
      <c r="C10" s="11" t="n">
        <v>0</v>
      </c>
      <c r="D10" s="11" t="n">
        <v>0</v>
      </c>
      <c r="E10" s="11" t="n">
        <v>1</v>
      </c>
      <c r="F10" s="11"/>
      <c r="G10" s="12"/>
      <c r="H10" s="12"/>
      <c r="I10" s="11"/>
      <c r="J10" s="12"/>
      <c r="K10" s="12"/>
      <c r="L10" s="11" t="n">
        <v>673</v>
      </c>
      <c r="M10" s="12" t="n">
        <v>19.9401</v>
      </c>
      <c r="N10" s="12" t="n">
        <v>38.712</v>
      </c>
      <c r="O10" s="12" t="n">
        <v>12.4716</v>
      </c>
      <c r="P10" s="12" t="n">
        <v>7.77117</v>
      </c>
      <c r="Q10" s="13" t="n">
        <v>25.1375</v>
      </c>
      <c r="R10" s="13" t="n">
        <v>17.3851</v>
      </c>
      <c r="S10" s="13" t="n">
        <v>673</v>
      </c>
      <c r="T10" s="13" t="n">
        <v>243</v>
      </c>
      <c r="U10" s="13"/>
      <c r="V10" s="13"/>
      <c r="W10" s="13" t="n">
        <v>84.5466</v>
      </c>
      <c r="X10" s="13"/>
      <c r="Y10" s="13"/>
      <c r="Z10" s="13" t="n">
        <v>5.81608</v>
      </c>
      <c r="AA10" s="13"/>
      <c r="AB10" s="13"/>
      <c r="AC10" s="13" t="n">
        <v>25.7562</v>
      </c>
    </row>
    <row r="11" customFormat="false" ht="15" hidden="false" customHeight="false" outlineLevel="0" collapsed="false">
      <c r="A11" s="11" t="s">
        <v>59</v>
      </c>
      <c r="B11" s="11" t="n">
        <v>1</v>
      </c>
      <c r="C11" s="11" t="n">
        <v>1</v>
      </c>
      <c r="D11" s="11" t="n">
        <v>1</v>
      </c>
      <c r="E11" s="11" t="n">
        <v>0</v>
      </c>
      <c r="F11" s="11" t="n">
        <v>673</v>
      </c>
      <c r="G11" s="12" t="n">
        <v>26.7597</v>
      </c>
      <c r="H11" s="12" t="n">
        <v>30.3919</v>
      </c>
      <c r="I11" s="11" t="n">
        <v>673</v>
      </c>
      <c r="J11" s="12" t="n">
        <v>27.9443</v>
      </c>
      <c r="K11" s="12" t="n">
        <v>29.3621</v>
      </c>
      <c r="L11" s="11"/>
      <c r="M11" s="12"/>
      <c r="N11" s="12"/>
      <c r="O11" s="12" t="n">
        <v>18.2176</v>
      </c>
      <c r="P11" s="12" t="n">
        <v>8.31925</v>
      </c>
      <c r="Q11" s="13" t="n">
        <v>43.9714</v>
      </c>
      <c r="R11" s="13" t="n">
        <v>22.9213</v>
      </c>
      <c r="S11" s="13" t="n">
        <v>1370</v>
      </c>
      <c r="T11" s="13" t="n">
        <v>2630</v>
      </c>
      <c r="U11" s="13" t="n">
        <v>83.9263</v>
      </c>
      <c r="V11" s="13" t="n">
        <v>79.3892</v>
      </c>
      <c r="W11" s="13"/>
      <c r="X11" s="13" t="n">
        <v>6.04368</v>
      </c>
      <c r="Y11" s="13" t="n">
        <v>6.03291</v>
      </c>
      <c r="Z11" s="13"/>
      <c r="AA11" s="13" t="n">
        <v>32.8034</v>
      </c>
      <c r="AB11" s="13" t="n">
        <v>33.9772</v>
      </c>
      <c r="AC11" s="13"/>
    </row>
    <row r="12" customFormat="false" ht="15" hidden="false" customHeight="false" outlineLevel="0" collapsed="false">
      <c r="A12" s="11" t="s">
        <v>59</v>
      </c>
      <c r="B12" s="11" t="n">
        <v>2</v>
      </c>
      <c r="C12" s="11" t="n">
        <v>1</v>
      </c>
      <c r="D12" s="11" t="n">
        <v>1</v>
      </c>
      <c r="E12" s="11" t="n">
        <v>0</v>
      </c>
      <c r="F12" s="11" t="n">
        <v>673</v>
      </c>
      <c r="G12" s="12" t="n">
        <v>26.5455</v>
      </c>
      <c r="H12" s="12" t="n">
        <v>30.5869</v>
      </c>
      <c r="I12" s="11" t="n">
        <v>673</v>
      </c>
      <c r="J12" s="12" t="n">
        <v>27.9759</v>
      </c>
      <c r="K12" s="12" t="n">
        <v>29.2418</v>
      </c>
      <c r="L12" s="11"/>
      <c r="M12" s="12"/>
      <c r="N12" s="12"/>
      <c r="O12" s="12" t="n">
        <v>18.0785</v>
      </c>
      <c r="P12" s="12" t="n">
        <v>8.75173</v>
      </c>
      <c r="Q12" s="13" t="n">
        <v>42.9619</v>
      </c>
      <c r="R12" s="13" t="n">
        <v>23.0154</v>
      </c>
      <c r="S12" s="13" t="n">
        <v>1379</v>
      </c>
      <c r="T12" s="13" t="n">
        <v>2898</v>
      </c>
      <c r="U12" s="13" t="n">
        <v>59.5203</v>
      </c>
      <c r="V12" s="13" t="n">
        <v>57.6908</v>
      </c>
      <c r="W12" s="13"/>
      <c r="X12" s="13" t="n">
        <v>6.05551</v>
      </c>
      <c r="Y12" s="13" t="n">
        <v>6.13408</v>
      </c>
      <c r="Z12" s="13"/>
      <c r="AA12" s="13" t="n">
        <v>32.601</v>
      </c>
      <c r="AB12" s="13" t="n">
        <v>34.11</v>
      </c>
      <c r="AC12" s="13"/>
    </row>
    <row r="13" customFormat="false" ht="15" hidden="false" customHeight="false" outlineLevel="0" collapsed="false">
      <c r="A13" s="11" t="s">
        <v>59</v>
      </c>
      <c r="B13" s="11" t="n">
        <v>3</v>
      </c>
      <c r="C13" s="11" t="n">
        <v>1</v>
      </c>
      <c r="D13" s="11" t="n">
        <v>1</v>
      </c>
      <c r="E13" s="11" t="n">
        <v>0</v>
      </c>
      <c r="F13" s="11" t="n">
        <v>673</v>
      </c>
      <c r="G13" s="12" t="n">
        <v>27.3251</v>
      </c>
      <c r="H13" s="12" t="n">
        <v>29.875</v>
      </c>
      <c r="I13" s="11" t="n">
        <v>673</v>
      </c>
      <c r="J13" s="12" t="n">
        <v>28.1716</v>
      </c>
      <c r="K13" s="12" t="n">
        <v>29.1235</v>
      </c>
      <c r="L13" s="11"/>
      <c r="M13" s="12"/>
      <c r="N13" s="12"/>
      <c r="O13" s="12" t="n">
        <v>17.8263</v>
      </c>
      <c r="P13" s="12" t="n">
        <v>8.39837</v>
      </c>
      <c r="Q13" s="13" t="n">
        <v>43.8286</v>
      </c>
      <c r="R13" s="13" t="n">
        <v>23.109</v>
      </c>
      <c r="S13" s="13" t="n">
        <v>1371</v>
      </c>
      <c r="T13" s="13" t="n">
        <v>2944</v>
      </c>
      <c r="U13" s="13" t="n">
        <v>120.57</v>
      </c>
      <c r="V13" s="13" t="n">
        <v>86.2702</v>
      </c>
      <c r="W13" s="13"/>
      <c r="X13" s="13" t="n">
        <v>6.05166</v>
      </c>
      <c r="Y13" s="13" t="n">
        <v>6.08706</v>
      </c>
      <c r="Z13" s="13"/>
      <c r="AA13" s="13" t="n">
        <v>33.3768</v>
      </c>
      <c r="AB13" s="13" t="n">
        <v>34.2587</v>
      </c>
      <c r="AC13" s="13"/>
    </row>
    <row r="14" customFormat="false" ht="15" hidden="false" customHeight="false" outlineLevel="0" collapsed="false">
      <c r="A14" s="11" t="s">
        <v>60</v>
      </c>
      <c r="B14" s="11" t="n">
        <v>1</v>
      </c>
      <c r="C14" s="11" t="n">
        <v>1</v>
      </c>
      <c r="D14" s="11" t="n">
        <v>0</v>
      </c>
      <c r="E14" s="11" t="n">
        <v>1</v>
      </c>
      <c r="F14" s="11" t="n">
        <v>673</v>
      </c>
      <c r="G14" s="12" t="n">
        <v>23.3575</v>
      </c>
      <c r="H14" s="12" t="n">
        <v>34.1348</v>
      </c>
      <c r="I14" s="11"/>
      <c r="J14" s="12"/>
      <c r="K14" s="12"/>
      <c r="L14" s="11" t="n">
        <v>673</v>
      </c>
      <c r="M14" s="12" t="n">
        <v>23.5959</v>
      </c>
      <c r="N14" s="12" t="n">
        <v>33.8967</v>
      </c>
      <c r="O14" s="12" t="n">
        <v>20.3259</v>
      </c>
      <c r="P14" s="12" t="n">
        <v>8.67455</v>
      </c>
      <c r="Q14" s="13" t="n">
        <v>47.6556</v>
      </c>
      <c r="R14" s="13" t="n">
        <v>19.8549</v>
      </c>
      <c r="S14" s="13" t="n">
        <v>1382</v>
      </c>
      <c r="T14" s="13" t="n">
        <v>3003</v>
      </c>
      <c r="U14" s="13" t="n">
        <v>91.4037</v>
      </c>
      <c r="V14" s="13"/>
      <c r="W14" s="13" t="n">
        <v>80.7853</v>
      </c>
      <c r="X14" s="13" t="n">
        <v>5.85053</v>
      </c>
      <c r="Y14" s="13"/>
      <c r="Z14" s="13" t="n">
        <v>5.83127</v>
      </c>
      <c r="AA14" s="13" t="n">
        <v>29.208</v>
      </c>
      <c r="AB14" s="13"/>
      <c r="AC14" s="13" t="n">
        <v>29.4272</v>
      </c>
    </row>
    <row r="15" customFormat="false" ht="15" hidden="false" customHeight="false" outlineLevel="0" collapsed="false">
      <c r="A15" s="11" t="s">
        <v>60</v>
      </c>
      <c r="B15" s="11" t="n">
        <v>2</v>
      </c>
      <c r="C15" s="11" t="n">
        <v>1</v>
      </c>
      <c r="D15" s="11" t="n">
        <v>0</v>
      </c>
      <c r="E15" s="11" t="n">
        <v>1</v>
      </c>
      <c r="F15" s="11" t="n">
        <v>673</v>
      </c>
      <c r="G15" s="12" t="n">
        <v>23.6293</v>
      </c>
      <c r="H15" s="12" t="n">
        <v>34.7699</v>
      </c>
      <c r="I15" s="11"/>
      <c r="J15" s="12"/>
      <c r="K15" s="12"/>
      <c r="L15" s="11" t="n">
        <v>673</v>
      </c>
      <c r="M15" s="12" t="n">
        <v>23.6854</v>
      </c>
      <c r="N15" s="12" t="n">
        <v>34.6995</v>
      </c>
      <c r="O15" s="12" t="n">
        <v>19.1446</v>
      </c>
      <c r="P15" s="12" t="n">
        <v>8.30725</v>
      </c>
      <c r="Q15" s="13" t="n">
        <v>49.5889</v>
      </c>
      <c r="R15" s="13" t="n">
        <v>19.3956</v>
      </c>
      <c r="S15" s="13" t="n">
        <v>1357</v>
      </c>
      <c r="T15" s="13" t="n">
        <v>702</v>
      </c>
      <c r="U15" s="13" t="n">
        <v>80.1373</v>
      </c>
      <c r="V15" s="13"/>
      <c r="W15" s="13" t="n">
        <v>74.2591</v>
      </c>
      <c r="X15" s="13" t="n">
        <v>5.05004</v>
      </c>
      <c r="Y15" s="13"/>
      <c r="Z15" s="13" t="n">
        <v>5.06006</v>
      </c>
      <c r="AA15" s="13" t="n">
        <v>28.6793</v>
      </c>
      <c r="AB15" s="13"/>
      <c r="AC15" s="13" t="n">
        <v>28.7455</v>
      </c>
    </row>
    <row r="16" customFormat="false" ht="15" hidden="false" customHeight="false" outlineLevel="0" collapsed="false">
      <c r="A16" s="11" t="s">
        <v>60</v>
      </c>
      <c r="B16" s="11" t="n">
        <v>3</v>
      </c>
      <c r="C16" s="11" t="n">
        <v>1</v>
      </c>
      <c r="D16" s="11" t="n">
        <v>0</v>
      </c>
      <c r="E16" s="11" t="n">
        <v>1</v>
      </c>
      <c r="F16" s="11" t="n">
        <v>673</v>
      </c>
      <c r="G16" s="12" t="n">
        <v>23.7077</v>
      </c>
      <c r="H16" s="12" t="n">
        <v>34.6657</v>
      </c>
      <c r="I16" s="11"/>
      <c r="J16" s="12"/>
      <c r="K16" s="12"/>
      <c r="L16" s="11" t="n">
        <v>673</v>
      </c>
      <c r="M16" s="12" t="n">
        <v>23.771</v>
      </c>
      <c r="N16" s="12" t="n">
        <v>34.5744</v>
      </c>
      <c r="O16" s="12" t="n">
        <v>19.7343</v>
      </c>
      <c r="P16" s="12" t="n">
        <v>8.67551</v>
      </c>
      <c r="Q16" s="13" t="n">
        <v>49.3111</v>
      </c>
      <c r="R16" s="13" t="n">
        <v>19.4657</v>
      </c>
      <c r="S16" s="13" t="n">
        <v>1366</v>
      </c>
      <c r="T16" s="13" t="n">
        <v>1965</v>
      </c>
      <c r="U16" s="13" t="n">
        <v>59.2554</v>
      </c>
      <c r="V16" s="13"/>
      <c r="W16" s="13" t="n">
        <v>59.309</v>
      </c>
      <c r="X16" s="13" t="n">
        <v>5.05785</v>
      </c>
      <c r="Y16" s="13"/>
      <c r="Z16" s="13" t="n">
        <v>5.06832</v>
      </c>
      <c r="AA16" s="13" t="n">
        <v>28.7656</v>
      </c>
      <c r="AB16" s="13"/>
      <c r="AC16" s="13" t="n">
        <v>28.8393</v>
      </c>
    </row>
    <row r="17" customFormat="false" ht="15" hidden="false" customHeight="false" outlineLevel="0" collapsed="false">
      <c r="A17" s="11" t="s">
        <v>61</v>
      </c>
      <c r="B17" s="11" t="n">
        <v>1</v>
      </c>
      <c r="C17" s="11" t="n">
        <v>0</v>
      </c>
      <c r="D17" s="11" t="n">
        <v>1</v>
      </c>
      <c r="E17" s="11" t="n">
        <v>1</v>
      </c>
      <c r="F17" s="11"/>
      <c r="G17" s="12"/>
      <c r="H17" s="12"/>
      <c r="I17" s="11" t="n">
        <v>673</v>
      </c>
      <c r="J17" s="12" t="n">
        <v>29.259</v>
      </c>
      <c r="K17" s="12" t="n">
        <v>28.0739</v>
      </c>
      <c r="L17" s="11" t="n">
        <v>673</v>
      </c>
      <c r="M17" s="12" t="n">
        <v>27.7903</v>
      </c>
      <c r="N17" s="12" t="n">
        <v>29.3065</v>
      </c>
      <c r="O17" s="12" t="n">
        <v>17.8843</v>
      </c>
      <c r="P17" s="12" t="n">
        <v>8.59915</v>
      </c>
      <c r="Q17" s="13" t="n">
        <v>43.1909</v>
      </c>
      <c r="R17" s="13" t="n">
        <v>23.973</v>
      </c>
      <c r="S17" s="13" t="n">
        <v>1382</v>
      </c>
      <c r="T17" s="13" t="n">
        <v>4269</v>
      </c>
      <c r="U17" s="13"/>
      <c r="V17" s="13" t="n">
        <v>87.038</v>
      </c>
      <c r="W17" s="13" t="n">
        <v>71.4728</v>
      </c>
      <c r="X17" s="13"/>
      <c r="Y17" s="13" t="n">
        <v>6.28524</v>
      </c>
      <c r="Z17" s="13" t="n">
        <v>6.23199</v>
      </c>
      <c r="AA17" s="13"/>
      <c r="AB17" s="13" t="n">
        <v>35.5442</v>
      </c>
      <c r="AC17" s="13" t="n">
        <v>34.0223</v>
      </c>
    </row>
    <row r="18" customFormat="false" ht="15" hidden="false" customHeight="false" outlineLevel="0" collapsed="false">
      <c r="A18" s="11" t="s">
        <v>61</v>
      </c>
      <c r="B18" s="11" t="n">
        <v>2</v>
      </c>
      <c r="C18" s="11" t="n">
        <v>0</v>
      </c>
      <c r="D18" s="11" t="n">
        <v>1</v>
      </c>
      <c r="E18" s="11" t="n">
        <v>1</v>
      </c>
      <c r="F18" s="11"/>
      <c r="G18" s="12"/>
      <c r="H18" s="12"/>
      <c r="I18" s="11" t="n">
        <v>673</v>
      </c>
      <c r="J18" s="12" t="n">
        <v>29.2363</v>
      </c>
      <c r="K18" s="12" t="n">
        <v>28.4489</v>
      </c>
      <c r="L18" s="11" t="n">
        <v>673</v>
      </c>
      <c r="M18" s="12" t="n">
        <v>27.9965</v>
      </c>
      <c r="N18" s="12" t="n">
        <v>29.5801</v>
      </c>
      <c r="O18" s="12" t="n">
        <v>17.0642</v>
      </c>
      <c r="P18" s="12" t="n">
        <v>8.81434</v>
      </c>
      <c r="Q18" s="13" t="n">
        <v>44.3273</v>
      </c>
      <c r="R18" s="13" t="n">
        <v>23.6569</v>
      </c>
      <c r="S18" s="13" t="n">
        <v>1371</v>
      </c>
      <c r="T18" s="13" t="n">
        <v>4381</v>
      </c>
      <c r="U18" s="13"/>
      <c r="V18" s="13" t="n">
        <v>95.541</v>
      </c>
      <c r="W18" s="13" t="n">
        <v>78.3074</v>
      </c>
      <c r="X18" s="13"/>
      <c r="Y18" s="13" t="n">
        <v>5.82939</v>
      </c>
      <c r="Z18" s="13" t="n">
        <v>5.72993</v>
      </c>
      <c r="AA18" s="13"/>
      <c r="AB18" s="13" t="n">
        <v>35.0657</v>
      </c>
      <c r="AC18" s="13" t="n">
        <v>33.7264</v>
      </c>
    </row>
    <row r="19" customFormat="false" ht="15" hidden="false" customHeight="false" outlineLevel="0" collapsed="false">
      <c r="A19" s="11" t="s">
        <v>61</v>
      </c>
      <c r="B19" s="11" t="n">
        <v>3</v>
      </c>
      <c r="C19" s="11" t="n">
        <v>0</v>
      </c>
      <c r="D19" s="11" t="n">
        <v>1</v>
      </c>
      <c r="E19" s="11" t="n">
        <v>1</v>
      </c>
      <c r="F19" s="11"/>
      <c r="G19" s="12"/>
      <c r="H19" s="12"/>
      <c r="I19" s="11" t="n">
        <v>673</v>
      </c>
      <c r="J19" s="12" t="n">
        <v>29.2298</v>
      </c>
      <c r="K19" s="12" t="n">
        <v>28.226</v>
      </c>
      <c r="L19" s="11" t="n">
        <v>673</v>
      </c>
      <c r="M19" s="12" t="n">
        <v>27.6497</v>
      </c>
      <c r="N19" s="12" t="n">
        <v>29.5659</v>
      </c>
      <c r="O19" s="12" t="n">
        <v>18.213</v>
      </c>
      <c r="P19" s="12" t="n">
        <v>8.63384</v>
      </c>
      <c r="Q19" s="13" t="n">
        <v>43.4636</v>
      </c>
      <c r="R19" s="13" t="n">
        <v>23.8436</v>
      </c>
      <c r="S19" s="13" t="n">
        <v>1377</v>
      </c>
      <c r="T19" s="13" t="n">
        <v>4099</v>
      </c>
      <c r="U19" s="13"/>
      <c r="V19" s="13" t="n">
        <v>78.16</v>
      </c>
      <c r="W19" s="13" t="n">
        <v>62.6122</v>
      </c>
      <c r="X19" s="13"/>
      <c r="Y19" s="13" t="n">
        <v>6.11017</v>
      </c>
      <c r="Z19" s="13" t="n">
        <v>6.07243</v>
      </c>
      <c r="AA19" s="13"/>
      <c r="AB19" s="13" t="n">
        <v>35.34</v>
      </c>
      <c r="AC19" s="13" t="n">
        <v>33.7222</v>
      </c>
    </row>
    <row r="20" customFormat="false" ht="15" hidden="false" customHeight="false" outlineLevel="0" collapsed="false">
      <c r="A20" s="11" t="s">
        <v>62</v>
      </c>
      <c r="B20" s="11" t="n">
        <v>1</v>
      </c>
      <c r="C20" s="11" t="n">
        <v>1</v>
      </c>
      <c r="D20" s="11" t="n">
        <v>1</v>
      </c>
      <c r="E20" s="11" t="n">
        <v>1</v>
      </c>
      <c r="F20" s="11" t="n">
        <v>673</v>
      </c>
      <c r="G20" s="12" t="n">
        <v>25.2073</v>
      </c>
      <c r="H20" s="12" t="n">
        <v>31.1828</v>
      </c>
      <c r="I20" s="11" t="n">
        <v>673</v>
      </c>
      <c r="J20" s="12" t="n">
        <v>26.4612</v>
      </c>
      <c r="K20" s="12" t="n">
        <v>31.0263</v>
      </c>
      <c r="L20" s="11" t="n">
        <v>673</v>
      </c>
      <c r="M20" s="12" t="n">
        <v>26.4333</v>
      </c>
      <c r="N20" s="12" t="n">
        <v>31.063</v>
      </c>
      <c r="O20" s="12" t="n">
        <v>24.9792</v>
      </c>
      <c r="P20" s="12" t="n">
        <v>8.02138</v>
      </c>
      <c r="Q20" s="13" t="n">
        <v>72.745</v>
      </c>
      <c r="R20" s="13" t="n">
        <v>21.6917</v>
      </c>
      <c r="S20" s="13" t="n">
        <v>3750</v>
      </c>
      <c r="T20" s="13" t="n">
        <v>6602</v>
      </c>
      <c r="U20" s="13" t="n">
        <v>58.4632</v>
      </c>
      <c r="V20" s="13" t="n">
        <v>58.978</v>
      </c>
      <c r="W20" s="13" t="n">
        <v>61.4171</v>
      </c>
      <c r="X20" s="13" t="n">
        <v>6.77642</v>
      </c>
      <c r="Y20" s="13" t="n">
        <v>5.68641</v>
      </c>
      <c r="Z20" s="13" t="n">
        <v>5.68125</v>
      </c>
      <c r="AA20" s="13" t="n">
        <v>31.9837</v>
      </c>
      <c r="AB20" s="13" t="n">
        <v>32.1476</v>
      </c>
      <c r="AC20" s="13" t="n">
        <v>32.1145</v>
      </c>
    </row>
    <row r="21" customFormat="false" ht="15" hidden="false" customHeight="false" outlineLevel="0" collapsed="false">
      <c r="A21" s="11" t="s">
        <v>62</v>
      </c>
      <c r="B21" s="11" t="n">
        <v>2</v>
      </c>
      <c r="C21" s="11" t="n">
        <v>1</v>
      </c>
      <c r="D21" s="11" t="n">
        <v>1</v>
      </c>
      <c r="E21" s="11" t="n">
        <v>1</v>
      </c>
      <c r="F21" s="11" t="n">
        <v>673</v>
      </c>
      <c r="G21" s="12" t="n">
        <v>26.6817</v>
      </c>
      <c r="H21" s="12" t="n">
        <v>31.4102</v>
      </c>
      <c r="I21" s="11" t="n">
        <v>673</v>
      </c>
      <c r="J21" s="12" t="n">
        <v>26.7364</v>
      </c>
      <c r="K21" s="12" t="n">
        <v>31.2674</v>
      </c>
      <c r="L21" s="11" t="n">
        <v>673</v>
      </c>
      <c r="M21" s="12" t="n">
        <v>26.6694</v>
      </c>
      <c r="N21" s="12" t="n">
        <v>31.3834</v>
      </c>
      <c r="O21" s="12" t="n">
        <v>25.6736</v>
      </c>
      <c r="P21" s="12" t="n">
        <v>7.61379</v>
      </c>
      <c r="Q21" s="13" t="n">
        <v>73.36</v>
      </c>
      <c r="R21" s="13" t="n">
        <v>21.5245</v>
      </c>
      <c r="S21" s="13" t="n">
        <v>2191</v>
      </c>
      <c r="T21" s="13" t="n">
        <v>6978</v>
      </c>
      <c r="U21" s="13" t="n">
        <v>84.767</v>
      </c>
      <c r="V21" s="13" t="n">
        <v>70.5116</v>
      </c>
      <c r="W21" s="13" t="n">
        <v>66.5807</v>
      </c>
      <c r="X21" s="13" t="n">
        <v>5.06751</v>
      </c>
      <c r="Y21" s="13" t="n">
        <v>5.17781</v>
      </c>
      <c r="Z21" s="13" t="n">
        <v>5.10208</v>
      </c>
      <c r="AA21" s="13" t="n">
        <v>31.7492</v>
      </c>
      <c r="AB21" s="13" t="n">
        <v>31.9142</v>
      </c>
      <c r="AC21" s="13" t="n">
        <v>31.7715</v>
      </c>
    </row>
    <row r="22" customFormat="false" ht="15" hidden="false" customHeight="false" outlineLevel="0" collapsed="false">
      <c r="A22" s="11" t="s">
        <v>62</v>
      </c>
      <c r="B22" s="11" t="n">
        <v>3</v>
      </c>
      <c r="C22" s="11" t="n">
        <v>1</v>
      </c>
      <c r="D22" s="11" t="n">
        <v>1</v>
      </c>
      <c r="E22" s="11" t="n">
        <v>1</v>
      </c>
      <c r="F22" s="11" t="n">
        <v>673</v>
      </c>
      <c r="G22" s="12" t="n">
        <v>26.795</v>
      </c>
      <c r="H22" s="12" t="n">
        <v>30.9191</v>
      </c>
      <c r="I22" s="11" t="n">
        <v>673</v>
      </c>
      <c r="J22" s="12" t="n">
        <v>26.8698</v>
      </c>
      <c r="K22" s="12" t="n">
        <v>30.7277</v>
      </c>
      <c r="L22" s="11" t="n">
        <v>673</v>
      </c>
      <c r="M22" s="12" t="n">
        <v>26.9739</v>
      </c>
      <c r="N22" s="12" t="n">
        <v>30.7601</v>
      </c>
      <c r="O22" s="12" t="n">
        <v>25.623</v>
      </c>
      <c r="P22" s="12" t="n">
        <v>8.12802</v>
      </c>
      <c r="Q22" s="13" t="n">
        <v>71.635</v>
      </c>
      <c r="R22" s="13" t="n">
        <v>21.9025</v>
      </c>
      <c r="S22" s="13" t="n">
        <v>2120</v>
      </c>
      <c r="T22" s="13" t="n">
        <v>4401</v>
      </c>
      <c r="U22" s="13" t="n">
        <v>63.7737</v>
      </c>
      <c r="V22" s="13" t="n">
        <v>59.808</v>
      </c>
      <c r="W22" s="13" t="n">
        <v>63.2241</v>
      </c>
      <c r="X22" s="13" t="n">
        <v>5.45966</v>
      </c>
      <c r="Y22" s="13" t="n">
        <v>5.60042</v>
      </c>
      <c r="Z22" s="13" t="n">
        <v>5.4543</v>
      </c>
      <c r="AA22" s="13" t="n">
        <v>32.2547</v>
      </c>
      <c r="AB22" s="13" t="n">
        <v>32.4702</v>
      </c>
      <c r="AC22" s="13" t="n">
        <v>32.4282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6" min="15" style="0" width="13"/>
  </cols>
  <sheetData>
    <row r="1" customFormat="false" ht="30" hidden="false" customHeight="tru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0" t="s">
        <v>51</v>
      </c>
      <c r="M1" s="10" t="s">
        <v>52</v>
      </c>
      <c r="N1" s="10" t="s">
        <v>53</v>
      </c>
      <c r="O1" s="10" t="s">
        <v>54</v>
      </c>
      <c r="P1" s="10" t="s">
        <v>55</v>
      </c>
    </row>
    <row r="2" customFormat="false" ht="15" hidden="false" customHeight="false" outlineLevel="0" collapsed="false">
      <c r="A2" s="11" t="s">
        <v>56</v>
      </c>
      <c r="B2" s="11" t="n">
        <v>1</v>
      </c>
      <c r="C2" s="11" t="n">
        <v>1</v>
      </c>
      <c r="D2" s="11" t="n">
        <v>0</v>
      </c>
      <c r="E2" s="11" t="n">
        <v>0</v>
      </c>
      <c r="F2" s="11" t="n">
        <v>673</v>
      </c>
      <c r="G2" s="12" t="n">
        <v>17.9213</v>
      </c>
      <c r="H2" s="12" t="n">
        <v>42.1396</v>
      </c>
      <c r="I2" s="11"/>
      <c r="J2" s="12"/>
      <c r="K2" s="12"/>
      <c r="L2" s="11"/>
      <c r="M2" s="12"/>
      <c r="N2" s="12"/>
      <c r="O2" s="12" t="n">
        <v>12.5185</v>
      </c>
      <c r="P2" s="12" t="n">
        <v>8.58239</v>
      </c>
    </row>
    <row r="3" customFormat="false" ht="15" hidden="false" customHeight="false" outlineLevel="0" collapsed="false">
      <c r="A3" s="11" t="s">
        <v>56</v>
      </c>
      <c r="B3" s="11" t="n">
        <v>2</v>
      </c>
      <c r="C3" s="11" t="n">
        <v>1</v>
      </c>
      <c r="D3" s="11" t="n">
        <v>0</v>
      </c>
      <c r="E3" s="11" t="n">
        <v>0</v>
      </c>
      <c r="F3" s="11" t="n">
        <v>673</v>
      </c>
      <c r="G3" s="12" t="n">
        <v>17.9383</v>
      </c>
      <c r="H3" s="12" t="n">
        <v>42.121</v>
      </c>
      <c r="I3" s="11"/>
      <c r="J3" s="12"/>
      <c r="K3" s="12"/>
      <c r="L3" s="11"/>
      <c r="M3" s="12"/>
      <c r="N3" s="12"/>
      <c r="O3" s="12" t="n">
        <v>12.3472</v>
      </c>
      <c r="P3" s="12" t="n">
        <v>8.31259</v>
      </c>
    </row>
    <row r="4" customFormat="false" ht="15" hidden="false" customHeight="false" outlineLevel="0" collapsed="false">
      <c r="A4" s="11" t="s">
        <v>56</v>
      </c>
      <c r="B4" s="11" t="n">
        <v>3</v>
      </c>
      <c r="C4" s="11" t="n">
        <v>1</v>
      </c>
      <c r="D4" s="11" t="n">
        <v>0</v>
      </c>
      <c r="E4" s="11" t="n">
        <v>0</v>
      </c>
      <c r="F4" s="11" t="n">
        <v>673</v>
      </c>
      <c r="G4" s="12" t="n">
        <v>17.9627</v>
      </c>
      <c r="H4" s="12" t="n">
        <v>42.0176</v>
      </c>
      <c r="I4" s="11"/>
      <c r="J4" s="12"/>
      <c r="K4" s="12"/>
      <c r="L4" s="11"/>
      <c r="M4" s="12"/>
      <c r="N4" s="12"/>
      <c r="O4" s="12" t="n">
        <v>12.3372</v>
      </c>
      <c r="P4" s="12" t="n">
        <v>8.47077</v>
      </c>
    </row>
    <row r="5" customFormat="false" ht="15" hidden="false" customHeight="false" outlineLevel="0" collapsed="false">
      <c r="A5" s="11" t="s">
        <v>57</v>
      </c>
      <c r="B5" s="11" t="n">
        <v>1</v>
      </c>
      <c r="C5" s="11" t="n">
        <v>0</v>
      </c>
      <c r="D5" s="11" t="n">
        <v>1</v>
      </c>
      <c r="E5" s="11" t="n">
        <v>0</v>
      </c>
      <c r="F5" s="11"/>
      <c r="G5" s="12"/>
      <c r="H5" s="12"/>
      <c r="I5" s="11" t="n">
        <v>673</v>
      </c>
      <c r="J5" s="12" t="n">
        <v>23.0127</v>
      </c>
      <c r="K5" s="12" t="n">
        <v>34.4379</v>
      </c>
      <c r="L5" s="11"/>
      <c r="M5" s="12"/>
      <c r="N5" s="12"/>
      <c r="O5" s="12" t="n">
        <v>10.9623</v>
      </c>
      <c r="P5" s="12" t="n">
        <v>8.49514</v>
      </c>
    </row>
    <row r="6" customFormat="false" ht="15" hidden="false" customHeight="false" outlineLevel="0" collapsed="false">
      <c r="A6" s="11" t="s">
        <v>57</v>
      </c>
      <c r="B6" s="11" t="n">
        <v>2</v>
      </c>
      <c r="C6" s="11" t="n">
        <v>0</v>
      </c>
      <c r="D6" s="11" t="n">
        <v>1</v>
      </c>
      <c r="E6" s="11" t="n">
        <v>0</v>
      </c>
      <c r="F6" s="11"/>
      <c r="G6" s="12"/>
      <c r="H6" s="12"/>
      <c r="I6" s="11" t="n">
        <v>673</v>
      </c>
      <c r="J6" s="12" t="n">
        <v>23.0039</v>
      </c>
      <c r="K6" s="12" t="n">
        <v>34.4383</v>
      </c>
      <c r="L6" s="11"/>
      <c r="M6" s="12"/>
      <c r="N6" s="12"/>
      <c r="O6" s="12" t="n">
        <v>10.8675</v>
      </c>
      <c r="P6" s="12" t="n">
        <v>8.56333</v>
      </c>
    </row>
    <row r="7" customFormat="false" ht="15" hidden="false" customHeight="false" outlineLevel="0" collapsed="false">
      <c r="A7" s="11" t="s">
        <v>57</v>
      </c>
      <c r="B7" s="11" t="n">
        <v>3</v>
      </c>
      <c r="C7" s="11" t="n">
        <v>0</v>
      </c>
      <c r="D7" s="11" t="n">
        <v>1</v>
      </c>
      <c r="E7" s="11" t="n">
        <v>0</v>
      </c>
      <c r="F7" s="11"/>
      <c r="G7" s="12"/>
      <c r="H7" s="12"/>
      <c r="I7" s="11" t="n">
        <v>673</v>
      </c>
      <c r="J7" s="12" t="n">
        <v>23.0221</v>
      </c>
      <c r="K7" s="12" t="n">
        <v>34.9525</v>
      </c>
      <c r="L7" s="11"/>
      <c r="M7" s="12"/>
      <c r="N7" s="12"/>
      <c r="O7" s="12" t="n">
        <v>11.12</v>
      </c>
      <c r="P7" s="12" t="n">
        <v>8.53991</v>
      </c>
    </row>
    <row r="8" customFormat="false" ht="15" hidden="false" customHeight="false" outlineLevel="0" collapsed="false">
      <c r="A8" s="11" t="s">
        <v>58</v>
      </c>
      <c r="B8" s="11" t="n">
        <v>1</v>
      </c>
      <c r="C8" s="11" t="n">
        <v>0</v>
      </c>
      <c r="D8" s="11" t="n">
        <v>0</v>
      </c>
      <c r="E8" s="11" t="n">
        <v>1</v>
      </c>
      <c r="F8" s="11"/>
      <c r="G8" s="12"/>
      <c r="H8" s="12"/>
      <c r="I8" s="11"/>
      <c r="J8" s="12"/>
      <c r="K8" s="12"/>
      <c r="L8" s="11" t="n">
        <v>673</v>
      </c>
      <c r="M8" s="12" t="n">
        <v>17.9997</v>
      </c>
      <c r="N8" s="12" t="n">
        <v>41.9644</v>
      </c>
      <c r="O8" s="12" t="n">
        <v>12.1118</v>
      </c>
      <c r="P8" s="12" t="n">
        <v>8.38641</v>
      </c>
    </row>
    <row r="9" customFormat="false" ht="15" hidden="false" customHeight="false" outlineLevel="0" collapsed="false">
      <c r="A9" s="11" t="s">
        <v>58</v>
      </c>
      <c r="B9" s="11" t="n">
        <v>2</v>
      </c>
      <c r="C9" s="11" t="n">
        <v>0</v>
      </c>
      <c r="D9" s="11" t="n">
        <v>0</v>
      </c>
      <c r="E9" s="11" t="n">
        <v>1</v>
      </c>
      <c r="F9" s="11"/>
      <c r="G9" s="12"/>
      <c r="H9" s="12"/>
      <c r="I9" s="11"/>
      <c r="J9" s="12"/>
      <c r="K9" s="12"/>
      <c r="L9" s="11" t="n">
        <v>673</v>
      </c>
      <c r="M9" s="12" t="n">
        <v>18.0244</v>
      </c>
      <c r="N9" s="12" t="n">
        <v>41.8979</v>
      </c>
      <c r="O9" s="12" t="n">
        <v>12.8649</v>
      </c>
      <c r="P9" s="12" t="n">
        <v>8.55509</v>
      </c>
    </row>
    <row r="10" customFormat="false" ht="15" hidden="false" customHeight="false" outlineLevel="0" collapsed="false">
      <c r="A10" s="11" t="s">
        <v>58</v>
      </c>
      <c r="B10" s="11" t="n">
        <v>3</v>
      </c>
      <c r="C10" s="11" t="n">
        <v>0</v>
      </c>
      <c r="D10" s="11" t="n">
        <v>0</v>
      </c>
      <c r="E10" s="11" t="n">
        <v>1</v>
      </c>
      <c r="F10" s="11"/>
      <c r="G10" s="12"/>
      <c r="H10" s="12"/>
      <c r="I10" s="11"/>
      <c r="J10" s="12"/>
      <c r="K10" s="12"/>
      <c r="L10" s="11" t="n">
        <v>673</v>
      </c>
      <c r="M10" s="12" t="n">
        <v>18.0243</v>
      </c>
      <c r="N10" s="12" t="n">
        <v>41.9287</v>
      </c>
      <c r="O10" s="12" t="n">
        <v>13.1208</v>
      </c>
      <c r="P10" s="12" t="n">
        <v>8.52104</v>
      </c>
    </row>
    <row r="11" customFormat="false" ht="15" hidden="false" customHeight="false" outlineLevel="0" collapsed="false">
      <c r="A11" s="11" t="s">
        <v>59</v>
      </c>
      <c r="B11" s="11" t="n">
        <v>1</v>
      </c>
      <c r="C11" s="11" t="n">
        <v>1</v>
      </c>
      <c r="D11" s="11" t="n">
        <v>1</v>
      </c>
      <c r="E11" s="11" t="n">
        <v>0</v>
      </c>
      <c r="F11" s="11" t="n">
        <v>673</v>
      </c>
      <c r="G11" s="12" t="n">
        <v>25.3838</v>
      </c>
      <c r="H11" s="12" t="n">
        <v>31.8433</v>
      </c>
      <c r="I11" s="11" t="n">
        <v>673</v>
      </c>
      <c r="J11" s="12" t="n">
        <v>25.2945</v>
      </c>
      <c r="K11" s="12" t="n">
        <v>31.8535</v>
      </c>
      <c r="L11" s="11"/>
      <c r="M11" s="12"/>
      <c r="N11" s="12"/>
      <c r="O11" s="12" t="n">
        <v>19.4242</v>
      </c>
      <c r="P11" s="12" t="n">
        <v>9.49554</v>
      </c>
    </row>
    <row r="12" customFormat="false" ht="15" hidden="false" customHeight="false" outlineLevel="0" collapsed="false">
      <c r="A12" s="11" t="s">
        <v>59</v>
      </c>
      <c r="B12" s="11" t="n">
        <v>2</v>
      </c>
      <c r="C12" s="11" t="n">
        <v>1</v>
      </c>
      <c r="D12" s="11" t="n">
        <v>1</v>
      </c>
      <c r="E12" s="11" t="n">
        <v>0</v>
      </c>
      <c r="F12" s="11" t="n">
        <v>673</v>
      </c>
      <c r="G12" s="12" t="n">
        <v>25.2828</v>
      </c>
      <c r="H12" s="12" t="n">
        <v>31.8847</v>
      </c>
      <c r="I12" s="11" t="n">
        <v>673</v>
      </c>
      <c r="J12" s="12" t="n">
        <v>25.3748</v>
      </c>
      <c r="K12" s="12" t="n">
        <v>31.7612</v>
      </c>
      <c r="L12" s="11"/>
      <c r="M12" s="12"/>
      <c r="N12" s="12"/>
      <c r="O12" s="12" t="n">
        <v>18.7512</v>
      </c>
      <c r="P12" s="12" t="n">
        <v>9.36609</v>
      </c>
    </row>
    <row r="13" customFormat="false" ht="15" hidden="false" customHeight="false" outlineLevel="0" collapsed="false">
      <c r="A13" s="11" t="s">
        <v>59</v>
      </c>
      <c r="B13" s="11" t="n">
        <v>3</v>
      </c>
      <c r="C13" s="11" t="n">
        <v>1</v>
      </c>
      <c r="D13" s="11" t="n">
        <v>1</v>
      </c>
      <c r="E13" s="11" t="n">
        <v>0</v>
      </c>
      <c r="F13" s="11" t="n">
        <v>673</v>
      </c>
      <c r="G13" s="12" t="n">
        <v>25.2594</v>
      </c>
      <c r="H13" s="12" t="n">
        <v>31.9599</v>
      </c>
      <c r="I13" s="11" t="n">
        <v>673</v>
      </c>
      <c r="J13" s="12" t="n">
        <v>25.3707</v>
      </c>
      <c r="K13" s="12" t="n">
        <v>31.7969</v>
      </c>
      <c r="L13" s="11"/>
      <c r="M13" s="12"/>
      <c r="N13" s="12"/>
      <c r="O13" s="12" t="n">
        <v>18.9053</v>
      </c>
      <c r="P13" s="12" t="n">
        <v>9.32224</v>
      </c>
    </row>
    <row r="14" customFormat="false" ht="15" hidden="false" customHeight="false" outlineLevel="0" collapsed="false">
      <c r="A14" s="11" t="s">
        <v>60</v>
      </c>
      <c r="B14" s="11" t="n">
        <v>1</v>
      </c>
      <c r="C14" s="11" t="n">
        <v>1</v>
      </c>
      <c r="D14" s="11" t="n">
        <v>0</v>
      </c>
      <c r="E14" s="11" t="n">
        <v>1</v>
      </c>
      <c r="F14" s="11" t="n">
        <v>673</v>
      </c>
      <c r="G14" s="12" t="n">
        <v>20.7206</v>
      </c>
      <c r="H14" s="12" t="n">
        <v>38.2135</v>
      </c>
      <c r="I14" s="11"/>
      <c r="J14" s="12"/>
      <c r="K14" s="12"/>
      <c r="L14" s="11" t="n">
        <v>673</v>
      </c>
      <c r="M14" s="12" t="n">
        <v>20.7404</v>
      </c>
      <c r="N14" s="12" t="n">
        <v>38.1975</v>
      </c>
      <c r="O14" s="12" t="n">
        <v>21.0699</v>
      </c>
      <c r="P14" s="12" t="n">
        <v>9.62547</v>
      </c>
    </row>
    <row r="15" customFormat="false" ht="15" hidden="false" customHeight="false" outlineLevel="0" collapsed="false">
      <c r="A15" s="11" t="s">
        <v>60</v>
      </c>
      <c r="B15" s="11" t="n">
        <v>2</v>
      </c>
      <c r="C15" s="11" t="n">
        <v>1</v>
      </c>
      <c r="D15" s="11" t="n">
        <v>0</v>
      </c>
      <c r="E15" s="11" t="n">
        <v>1</v>
      </c>
      <c r="F15" s="11" t="n">
        <v>673</v>
      </c>
      <c r="G15" s="12" t="n">
        <v>20.8421</v>
      </c>
      <c r="H15" s="12" t="n">
        <v>37.9886</v>
      </c>
      <c r="I15" s="11"/>
      <c r="J15" s="12"/>
      <c r="K15" s="12"/>
      <c r="L15" s="11" t="n">
        <v>673</v>
      </c>
      <c r="M15" s="12" t="n">
        <v>20.8415</v>
      </c>
      <c r="N15" s="12" t="n">
        <v>38.0266</v>
      </c>
      <c r="O15" s="12" t="n">
        <v>21.1317</v>
      </c>
      <c r="P15" s="12" t="n">
        <v>9.63588</v>
      </c>
    </row>
    <row r="16" customFormat="false" ht="15" hidden="false" customHeight="false" outlineLevel="0" collapsed="false">
      <c r="A16" s="11" t="s">
        <v>60</v>
      </c>
      <c r="B16" s="11" t="n">
        <v>3</v>
      </c>
      <c r="C16" s="11" t="n">
        <v>1</v>
      </c>
      <c r="D16" s="11" t="n">
        <v>0</v>
      </c>
      <c r="E16" s="11" t="n">
        <v>1</v>
      </c>
      <c r="F16" s="11" t="n">
        <v>673</v>
      </c>
      <c r="G16" s="12" t="n">
        <v>20.7036</v>
      </c>
      <c r="H16" s="12" t="n">
        <v>38.6395</v>
      </c>
      <c r="I16" s="11"/>
      <c r="J16" s="12"/>
      <c r="K16" s="12"/>
      <c r="L16" s="11" t="n">
        <v>673</v>
      </c>
      <c r="M16" s="12" t="n">
        <v>20.6836</v>
      </c>
      <c r="N16" s="12" t="n">
        <v>38.6788</v>
      </c>
      <c r="O16" s="12" t="n">
        <v>21.016</v>
      </c>
      <c r="P16" s="12" t="n">
        <v>9.61024</v>
      </c>
    </row>
    <row r="17" customFormat="false" ht="15" hidden="false" customHeight="false" outlineLevel="0" collapsed="false">
      <c r="A17" s="11" t="s">
        <v>61</v>
      </c>
      <c r="B17" s="11" t="n">
        <v>1</v>
      </c>
      <c r="C17" s="11" t="n">
        <v>0</v>
      </c>
      <c r="D17" s="11" t="n">
        <v>1</v>
      </c>
      <c r="E17" s="11" t="n">
        <v>1</v>
      </c>
      <c r="F17" s="11"/>
      <c r="G17" s="12"/>
      <c r="H17" s="12"/>
      <c r="I17" s="11" t="n">
        <v>673</v>
      </c>
      <c r="J17" s="12" t="n">
        <v>25.4201</v>
      </c>
      <c r="K17" s="12" t="n">
        <v>31.6292</v>
      </c>
      <c r="L17" s="11" t="n">
        <v>673</v>
      </c>
      <c r="M17" s="12" t="n">
        <v>25.5475</v>
      </c>
      <c r="N17" s="12" t="n">
        <v>31.6216</v>
      </c>
      <c r="O17" s="12" t="n">
        <v>19.3682</v>
      </c>
      <c r="P17" s="12" t="n">
        <v>9.89405</v>
      </c>
    </row>
    <row r="18" customFormat="false" ht="15" hidden="false" customHeight="false" outlineLevel="0" collapsed="false">
      <c r="A18" s="11" t="s">
        <v>61</v>
      </c>
      <c r="B18" s="11" t="n">
        <v>2</v>
      </c>
      <c r="C18" s="11" t="n">
        <v>0</v>
      </c>
      <c r="D18" s="11" t="n">
        <v>1</v>
      </c>
      <c r="E18" s="11" t="n">
        <v>1</v>
      </c>
      <c r="F18" s="11"/>
      <c r="G18" s="12"/>
      <c r="H18" s="12"/>
      <c r="I18" s="11" t="n">
        <v>673</v>
      </c>
      <c r="J18" s="12" t="n">
        <v>25.4934</v>
      </c>
      <c r="K18" s="12" t="n">
        <v>31.5568</v>
      </c>
      <c r="L18" s="11" t="n">
        <v>673</v>
      </c>
      <c r="M18" s="12" t="n">
        <v>25.5569</v>
      </c>
      <c r="N18" s="12" t="n">
        <v>31.5929</v>
      </c>
      <c r="O18" s="12" t="n">
        <v>18.607</v>
      </c>
      <c r="P18" s="12" t="n">
        <v>9.00248</v>
      </c>
    </row>
    <row r="19" customFormat="false" ht="15" hidden="false" customHeight="false" outlineLevel="0" collapsed="false">
      <c r="A19" s="11" t="s">
        <v>61</v>
      </c>
      <c r="B19" s="11" t="n">
        <v>3</v>
      </c>
      <c r="C19" s="11" t="n">
        <v>0</v>
      </c>
      <c r="D19" s="11" t="n">
        <v>1</v>
      </c>
      <c r="E19" s="11" t="n">
        <v>1</v>
      </c>
      <c r="F19" s="11"/>
      <c r="G19" s="12"/>
      <c r="H19" s="12"/>
      <c r="I19" s="11" t="n">
        <v>673</v>
      </c>
      <c r="J19" s="12" t="n">
        <v>25.4882</v>
      </c>
      <c r="K19" s="12" t="n">
        <v>31.5493</v>
      </c>
      <c r="L19" s="11" t="n">
        <v>673</v>
      </c>
      <c r="M19" s="12" t="n">
        <v>25.6266</v>
      </c>
      <c r="N19" s="12" t="n">
        <v>31.5406</v>
      </c>
      <c r="O19" s="12" t="n">
        <v>19.2493</v>
      </c>
      <c r="P19" s="12" t="n">
        <v>9.21939</v>
      </c>
    </row>
    <row r="20" customFormat="false" ht="15" hidden="false" customHeight="false" outlineLevel="0" collapsed="false">
      <c r="A20" s="11" t="s">
        <v>62</v>
      </c>
      <c r="B20" s="11" t="n">
        <v>1</v>
      </c>
      <c r="C20" s="11" t="n">
        <v>1</v>
      </c>
      <c r="D20" s="11" t="n">
        <v>1</v>
      </c>
      <c r="E20" s="11" t="n">
        <v>1</v>
      </c>
      <c r="F20" s="11" t="n">
        <v>673</v>
      </c>
      <c r="G20" s="12" t="n">
        <v>26.168</v>
      </c>
      <c r="H20" s="12" t="n">
        <v>31.8217</v>
      </c>
      <c r="I20" s="11" t="n">
        <v>673</v>
      </c>
      <c r="J20" s="12" t="n">
        <v>26.1008</v>
      </c>
      <c r="K20" s="12" t="n">
        <v>31.8025</v>
      </c>
      <c r="L20" s="11" t="n">
        <v>673</v>
      </c>
      <c r="M20" s="12" t="n">
        <v>26.1718</v>
      </c>
      <c r="N20" s="12" t="n">
        <v>31.7922</v>
      </c>
      <c r="O20" s="12" t="n">
        <v>26.5528</v>
      </c>
      <c r="P20" s="12" t="n">
        <v>10.0953</v>
      </c>
    </row>
    <row r="21" customFormat="false" ht="15" hidden="false" customHeight="false" outlineLevel="0" collapsed="false">
      <c r="A21" s="11" t="s">
        <v>62</v>
      </c>
      <c r="B21" s="11" t="n">
        <v>2</v>
      </c>
      <c r="C21" s="11" t="n">
        <v>1</v>
      </c>
      <c r="D21" s="11" t="n">
        <v>1</v>
      </c>
      <c r="E21" s="11" t="n">
        <v>1</v>
      </c>
      <c r="F21" s="11" t="n">
        <v>673</v>
      </c>
      <c r="G21" s="12" t="n">
        <v>26.0847</v>
      </c>
      <c r="H21" s="12" t="n">
        <v>31.8744</v>
      </c>
      <c r="I21" s="11" t="n">
        <v>673</v>
      </c>
      <c r="J21" s="12" t="n">
        <v>25.9964</v>
      </c>
      <c r="K21" s="12" t="n">
        <v>31.8522</v>
      </c>
      <c r="L21" s="11" t="n">
        <v>673</v>
      </c>
      <c r="M21" s="12" t="n">
        <v>26.0407</v>
      </c>
      <c r="N21" s="12" t="n">
        <v>31.8874</v>
      </c>
      <c r="O21" s="12" t="n">
        <v>26.0051</v>
      </c>
      <c r="P21" s="12" t="n">
        <v>10.3884</v>
      </c>
    </row>
    <row r="22" customFormat="false" ht="15" hidden="false" customHeight="false" outlineLevel="0" collapsed="false">
      <c r="A22" s="11" t="s">
        <v>62</v>
      </c>
      <c r="B22" s="11" t="n">
        <v>3</v>
      </c>
      <c r="C22" s="11" t="n">
        <v>1</v>
      </c>
      <c r="D22" s="11" t="n">
        <v>1</v>
      </c>
      <c r="E22" s="11" t="n">
        <v>1</v>
      </c>
      <c r="F22" s="11" t="n">
        <v>673</v>
      </c>
      <c r="G22" s="12" t="n">
        <v>26.1236</v>
      </c>
      <c r="H22" s="12" t="n">
        <v>31.4962</v>
      </c>
      <c r="I22" s="11" t="n">
        <v>673</v>
      </c>
      <c r="J22" s="12" t="n">
        <v>25.9718</v>
      </c>
      <c r="K22" s="12" t="n">
        <v>31.5231</v>
      </c>
      <c r="L22" s="11" t="n">
        <v>673</v>
      </c>
      <c r="M22" s="12" t="n">
        <v>26.0473</v>
      </c>
      <c r="N22" s="12" t="n">
        <v>31.5125</v>
      </c>
      <c r="O22" s="12" t="n">
        <v>26.7365</v>
      </c>
      <c r="P22" s="12" t="n">
        <v>10.1705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21.6" hidden="false" customHeight="false" outlineLevel="0" collapsed="false">
      <c r="A1" s="14" t="s">
        <v>76</v>
      </c>
    </row>
    <row r="2" customFormat="false" ht="15" hidden="false" customHeight="false" outlineLevel="0" collapsed="false">
      <c r="A2" s="15" t="s">
        <v>77</v>
      </c>
    </row>
    <row r="4" customFormat="false" ht="31.5" hidden="false" customHeight="true" outlineLevel="0" collapsed="false">
      <c r="A4" s="16" t="s">
        <v>78</v>
      </c>
      <c r="B4" s="16" t="s">
        <v>79</v>
      </c>
      <c r="C4" s="16" t="s">
        <v>80</v>
      </c>
      <c r="D4" s="16" t="s">
        <v>81</v>
      </c>
      <c r="E4" s="16" t="s">
        <v>82</v>
      </c>
      <c r="F4" s="17" t="s">
        <v>83</v>
      </c>
      <c r="G4" s="17" t="s">
        <v>84</v>
      </c>
      <c r="H4" s="17" t="s">
        <v>85</v>
      </c>
      <c r="I4" s="17" t="s">
        <v>86</v>
      </c>
      <c r="J4" s="16" t="s">
        <v>87</v>
      </c>
      <c r="K4" s="16" t="s">
        <v>88</v>
      </c>
      <c r="L4" s="16" t="s">
        <v>27</v>
      </c>
    </row>
    <row r="5" customFormat="false" ht="15" hidden="false" customHeight="false" outlineLevel="0" collapsed="false">
      <c r="A5" s="18" t="s">
        <v>56</v>
      </c>
      <c r="B5" s="19" t="s">
        <v>89</v>
      </c>
      <c r="C5" s="18" t="s">
        <v>56</v>
      </c>
      <c r="D5" s="20" t="s">
        <v>90</v>
      </c>
      <c r="E5" s="20" t="s">
        <v>46</v>
      </c>
      <c r="F5" s="21" t="n">
        <f aca="false">AVERAGE(원본_CLI_OFF!G2:G4)</f>
        <v>17.8358</v>
      </c>
      <c r="G5" s="22" t="n">
        <f aca="false">STDEV(원본_CLI_OFF!G2:G4)</f>
        <v>0.00535070088866865</v>
      </c>
      <c r="H5" s="23" t="n">
        <f aca="false">AVERAGE(원본_CLI_ON!G2:G4)</f>
        <v>19.1698666666667</v>
      </c>
      <c r="I5" s="22" t="n">
        <f aca="false">STDEV(원본_CLI_ON!G2:G4)</f>
        <v>0.147882870317469</v>
      </c>
      <c r="J5" s="22" t="n">
        <f aca="false">H5-F5</f>
        <v>1.33406666666667</v>
      </c>
      <c r="K5" s="24" t="n">
        <f aca="false">IF(F5=0,"",J5/F5)</f>
        <v>0.0747971308641421</v>
      </c>
      <c r="L5" s="18" t="str">
        <f aca="false">IF(ABS(J5)&gt;(G5+I5),"노이즈 초과","노이즈 수준")</f>
        <v>노이즈 초과</v>
      </c>
    </row>
    <row r="6" customFormat="false" ht="15" hidden="false" customHeight="false" outlineLevel="0" collapsed="false">
      <c r="A6" s="18" t="s">
        <v>56</v>
      </c>
      <c r="B6" s="18" t="s">
        <v>12</v>
      </c>
      <c r="C6" s="18" t="s">
        <v>56</v>
      </c>
      <c r="D6" s="20" t="s">
        <v>47</v>
      </c>
      <c r="E6" s="20" t="s">
        <v>91</v>
      </c>
      <c r="F6" s="21" t="n">
        <f aca="false">AVERAGE(원본_CLI_OFF!H2:H4)</f>
        <v>42.3454</v>
      </c>
      <c r="G6" s="22" t="n">
        <f aca="false">STDEV(원본_CLI_OFF!H2:H4)</f>
        <v>0.0410193856609265</v>
      </c>
      <c r="H6" s="23" t="n">
        <f aca="false">AVERAGE(원본_CLI_ON!H2:H4)</f>
        <v>39.9159666666667</v>
      </c>
      <c r="I6" s="22" t="n">
        <f aca="false">STDEV(원본_CLI_ON!H2:H4)</f>
        <v>0.229015508936257</v>
      </c>
      <c r="J6" s="22" t="n">
        <f aca="false">H6-F6</f>
        <v>-2.42943333333334</v>
      </c>
      <c r="K6" s="24" t="n">
        <f aca="false">IF(F6=0,"",J6/F6)</f>
        <v>-0.0573718357444571</v>
      </c>
      <c r="L6" s="18" t="str">
        <f aca="false">IF(ABS(J6)&gt;(G6+I6),"노이즈 초과","노이즈 수준")</f>
        <v>노이즈 초과</v>
      </c>
    </row>
    <row r="7" customFormat="false" ht="15" hidden="false" customHeight="false" outlineLevel="0" collapsed="false">
      <c r="A7" s="18" t="s">
        <v>56</v>
      </c>
      <c r="B7" s="18" t="s">
        <v>92</v>
      </c>
      <c r="C7" s="18" t="s">
        <v>93</v>
      </c>
      <c r="D7" s="20" t="s">
        <v>54</v>
      </c>
      <c r="E7" s="20" t="s">
        <v>54</v>
      </c>
      <c r="F7" s="21" t="n">
        <f aca="false">AVERAGE(원본_CLI_OFF!O2:O4)</f>
        <v>12.7268</v>
      </c>
      <c r="G7" s="22" t="n">
        <f aca="false">STDEV(원본_CLI_OFF!O2:O4)</f>
        <v>0.190136687674946</v>
      </c>
      <c r="H7" s="23" t="n">
        <f aca="false">AVERAGE(원본_CLI_ON!O2:O4)</f>
        <v>12.6040333333333</v>
      </c>
      <c r="I7" s="22" t="n">
        <f aca="false">STDEV(원본_CLI_ON!O2:O4)</f>
        <v>0.48222766753198</v>
      </c>
      <c r="J7" s="22" t="n">
        <f aca="false">H7-F7</f>
        <v>-0.122766666666665</v>
      </c>
      <c r="K7" s="24" t="n">
        <f aca="false">IF(F7=0,"",J7/F7)</f>
        <v>-0.00964631067249154</v>
      </c>
      <c r="L7" s="18" t="str">
        <f aca="false">IF(ABS(J7)&gt;(G7+I7),"노이즈 초과","노이즈 수준")</f>
        <v>노이즈 수준</v>
      </c>
    </row>
    <row r="8" customFormat="false" ht="15" hidden="false" customHeight="false" outlineLevel="0" collapsed="false">
      <c r="A8" s="18" t="s">
        <v>56</v>
      </c>
      <c r="B8" s="18" t="s">
        <v>94</v>
      </c>
      <c r="C8" s="18" t="s">
        <v>93</v>
      </c>
      <c r="D8" s="20" t="s">
        <v>55</v>
      </c>
      <c r="E8" s="20" t="s">
        <v>55</v>
      </c>
      <c r="F8" s="21" t="n">
        <f aca="false">AVERAGE(원본_CLI_OFF!P2:P4)</f>
        <v>6.80632</v>
      </c>
      <c r="G8" s="22" t="n">
        <f aca="false">STDEV(원본_CLI_OFF!P2:P4)</f>
        <v>0.0783919236911557</v>
      </c>
      <c r="H8" s="23" t="n">
        <f aca="false">AVERAGE(원본_CLI_ON!P2:P4)</f>
        <v>7.93998</v>
      </c>
      <c r="I8" s="22" t="n">
        <f aca="false">STDEV(원본_CLI_ON!P2:P4)</f>
        <v>0.107847595708018</v>
      </c>
      <c r="J8" s="22" t="n">
        <f aca="false">H8-F8</f>
        <v>1.13366</v>
      </c>
      <c r="K8" s="24" t="n">
        <f aca="false">IF(F8=0,"",J8/F8)</f>
        <v>0.166559903148838</v>
      </c>
      <c r="L8" s="18" t="str">
        <f aca="false">IF(ABS(J8)&gt;(G8+I8),"노이즈 초과","노이즈 수준")</f>
        <v>노이즈 초과</v>
      </c>
    </row>
    <row r="9" customFormat="false" ht="15" hidden="false" customHeight="false" outlineLevel="0" collapsed="false">
      <c r="A9" s="25" t="s">
        <v>57</v>
      </c>
      <c r="B9" s="26" t="s">
        <v>89</v>
      </c>
      <c r="C9" s="25" t="s">
        <v>57</v>
      </c>
      <c r="D9" s="27" t="s">
        <v>95</v>
      </c>
      <c r="E9" s="27" t="s">
        <v>49</v>
      </c>
      <c r="F9" s="28" t="n">
        <f aca="false">AVERAGE(원본_CLI_OFF!J5:J7)</f>
        <v>22.8428</v>
      </c>
      <c r="G9" s="29" t="n">
        <f aca="false">STDEV(원본_CLI_OFF!J5:J7)</f>
        <v>0.0497686648404401</v>
      </c>
      <c r="H9" s="30" t="n">
        <f aca="false">AVERAGE(원본_CLI_ON!J5:J7)</f>
        <v>24.6978666666667</v>
      </c>
      <c r="I9" s="29" t="n">
        <f aca="false">STDEV(원본_CLI_ON!J5:J7)</f>
        <v>0.113002669584984</v>
      </c>
      <c r="J9" s="29" t="n">
        <f aca="false">H9-F9</f>
        <v>1.85506666666667</v>
      </c>
      <c r="K9" s="31" t="n">
        <f aca="false">IF(F9=0,"",J9/F9)</f>
        <v>0.0812101260207446</v>
      </c>
      <c r="L9" s="25" t="str">
        <f aca="false">IF(ABS(J9)&gt;(G9+I9),"노이즈 초과","노이즈 수준")</f>
        <v>노이즈 초과</v>
      </c>
    </row>
    <row r="10" customFormat="false" ht="15" hidden="false" customHeight="false" outlineLevel="0" collapsed="false">
      <c r="A10" s="25" t="s">
        <v>57</v>
      </c>
      <c r="B10" s="25" t="s">
        <v>12</v>
      </c>
      <c r="C10" s="25" t="s">
        <v>57</v>
      </c>
      <c r="D10" s="27" t="s">
        <v>50</v>
      </c>
      <c r="E10" s="27" t="s">
        <v>96</v>
      </c>
      <c r="F10" s="28" t="n">
        <f aca="false">AVERAGE(원본_CLI_OFF!K5:K7)</f>
        <v>34.6877</v>
      </c>
      <c r="G10" s="29" t="n">
        <f aca="false">STDEV(원본_CLI_OFF!K5:K7)</f>
        <v>0.0662577542631829</v>
      </c>
      <c r="H10" s="30" t="n">
        <f aca="false">AVERAGE(원본_CLI_ON!K5:K7)</f>
        <v>32.6560666666667</v>
      </c>
      <c r="I10" s="29" t="n">
        <f aca="false">STDEV(원본_CLI_ON!K5:K7)</f>
        <v>0.194405718365828</v>
      </c>
      <c r="J10" s="29" t="n">
        <f aca="false">H10-F10</f>
        <v>-2.03163333333333</v>
      </c>
      <c r="K10" s="31" t="n">
        <f aca="false">IF(F10=0,"",J10/F10)</f>
        <v>-0.0585692719129066</v>
      </c>
      <c r="L10" s="25" t="str">
        <f aca="false">IF(ABS(J10)&gt;(G10+I10),"노이즈 초과","노이즈 수준")</f>
        <v>노이즈 초과</v>
      </c>
    </row>
    <row r="11" customFormat="false" ht="15" hidden="false" customHeight="false" outlineLevel="0" collapsed="false">
      <c r="A11" s="25" t="s">
        <v>57</v>
      </c>
      <c r="B11" s="25" t="s">
        <v>92</v>
      </c>
      <c r="C11" s="25" t="s">
        <v>93</v>
      </c>
      <c r="D11" s="27" t="s">
        <v>54</v>
      </c>
      <c r="E11" s="27" t="s">
        <v>54</v>
      </c>
      <c r="F11" s="28" t="n">
        <f aca="false">AVERAGE(원본_CLI_OFF!O5:O7)</f>
        <v>10.9258</v>
      </c>
      <c r="G11" s="29" t="n">
        <f aca="false">STDEV(원본_CLI_OFF!O5:O7)</f>
        <v>0.25945602710286</v>
      </c>
      <c r="H11" s="30" t="n">
        <f aca="false">AVERAGE(원본_CLI_ON!O5:O7)</f>
        <v>10.4907666666667</v>
      </c>
      <c r="I11" s="29" t="n">
        <f aca="false">STDEV(원본_CLI_ON!O5:O7)</f>
        <v>0.384304063644055</v>
      </c>
      <c r="J11" s="29" t="n">
        <f aca="false">H11-F11</f>
        <v>-0.435033333333333</v>
      </c>
      <c r="K11" s="31" t="n">
        <f aca="false">IF(F11=0,"",J11/F11)</f>
        <v>-0.0398170690780843</v>
      </c>
      <c r="L11" s="25" t="str">
        <f aca="false">IF(ABS(J11)&gt;(G11+I11),"노이즈 초과","노이즈 수준")</f>
        <v>노이즈 수준</v>
      </c>
    </row>
    <row r="12" customFormat="false" ht="15" hidden="false" customHeight="false" outlineLevel="0" collapsed="false">
      <c r="A12" s="25" t="s">
        <v>57</v>
      </c>
      <c r="B12" s="25" t="s">
        <v>94</v>
      </c>
      <c r="C12" s="25" t="s">
        <v>93</v>
      </c>
      <c r="D12" s="27" t="s">
        <v>55</v>
      </c>
      <c r="E12" s="27" t="s">
        <v>55</v>
      </c>
      <c r="F12" s="28" t="n">
        <f aca="false">AVERAGE(원본_CLI_OFF!P5:P7)</f>
        <v>6.95555333333333</v>
      </c>
      <c r="G12" s="29" t="n">
        <f aca="false">STDEV(원본_CLI_OFF!P5:P7)</f>
        <v>0.159536817485285</v>
      </c>
      <c r="H12" s="30" t="n">
        <f aca="false">AVERAGE(원본_CLI_ON!P5:P7)</f>
        <v>8.10224666666667</v>
      </c>
      <c r="I12" s="29" t="n">
        <f aca="false">STDEV(원본_CLI_ON!P5:P7)</f>
        <v>0.0522959332389561</v>
      </c>
      <c r="J12" s="29" t="n">
        <f aca="false">H12-F12</f>
        <v>1.14669333333333</v>
      </c>
      <c r="K12" s="31" t="n">
        <f aca="false">IF(F12=0,"",J12/F12)</f>
        <v>0.164860116568727</v>
      </c>
      <c r="L12" s="25" t="str">
        <f aca="false">IF(ABS(J12)&gt;(G12+I12),"노이즈 초과","노이즈 수준")</f>
        <v>노이즈 초과</v>
      </c>
    </row>
    <row r="13" customFormat="false" ht="15" hidden="false" customHeight="false" outlineLevel="0" collapsed="false">
      <c r="A13" s="18" t="s">
        <v>58</v>
      </c>
      <c r="B13" s="19" t="s">
        <v>89</v>
      </c>
      <c r="C13" s="18" t="s">
        <v>58</v>
      </c>
      <c r="D13" s="20" t="s">
        <v>97</v>
      </c>
      <c r="E13" s="20" t="s">
        <v>52</v>
      </c>
      <c r="F13" s="21" t="n">
        <f aca="false">AVERAGE(원본_CLI_OFF!M8:M10)</f>
        <v>17.8179333333333</v>
      </c>
      <c r="G13" s="22" t="n">
        <f aca="false">STDEV(원본_CLI_OFF!M8:M10)</f>
        <v>0.00963448666682968</v>
      </c>
      <c r="H13" s="23" t="n">
        <f aca="false">AVERAGE(원본_CLI_ON!M8:M10)</f>
        <v>19.6701666666667</v>
      </c>
      <c r="I13" s="22" t="n">
        <f aca="false">STDEV(원본_CLI_ON!M8:M10)</f>
        <v>0.234917524534322</v>
      </c>
      <c r="J13" s="22" t="n">
        <f aca="false">H13-F13</f>
        <v>1.85223333333333</v>
      </c>
      <c r="K13" s="24" t="n">
        <f aca="false">IF(F13=0,"",J13/F13)</f>
        <v>0.103953320437462</v>
      </c>
      <c r="L13" s="18" t="str">
        <f aca="false">IF(ABS(J13)&gt;(G13+I13),"노이즈 초과","노이즈 수준")</f>
        <v>노이즈 초과</v>
      </c>
    </row>
    <row r="14" customFormat="false" ht="15" hidden="false" customHeight="false" outlineLevel="0" collapsed="false">
      <c r="A14" s="18" t="s">
        <v>58</v>
      </c>
      <c r="B14" s="18" t="s">
        <v>12</v>
      </c>
      <c r="C14" s="18" t="s">
        <v>58</v>
      </c>
      <c r="D14" s="20" t="s">
        <v>53</v>
      </c>
      <c r="E14" s="20" t="s">
        <v>98</v>
      </c>
      <c r="F14" s="21" t="n">
        <f aca="false">AVERAGE(원본_CLI_OFF!N8:N10)</f>
        <v>42.3741666666667</v>
      </c>
      <c r="G14" s="22" t="n">
        <f aca="false">STDEV(원본_CLI_OFF!N8:N10)</f>
        <v>0.0329396923685293</v>
      </c>
      <c r="H14" s="23" t="n">
        <f aca="false">AVERAGE(원본_CLI_ON!N8:N10)</f>
        <v>39.1117</v>
      </c>
      <c r="I14" s="22" t="n">
        <f aca="false">STDEV(원본_CLI_ON!N8:N10)</f>
        <v>0.346268638487517</v>
      </c>
      <c r="J14" s="22" t="n">
        <f aca="false">H14-F14</f>
        <v>-3.26246666666666</v>
      </c>
      <c r="K14" s="24" t="n">
        <f aca="false">IF(F14=0,"",J14/F14)</f>
        <v>-0.0769918779130365</v>
      </c>
      <c r="L14" s="18" t="str">
        <f aca="false">IF(ABS(J14)&gt;(G14+I14),"노이즈 초과","노이즈 수준")</f>
        <v>노이즈 초과</v>
      </c>
    </row>
    <row r="15" customFormat="false" ht="15" hidden="false" customHeight="false" outlineLevel="0" collapsed="false">
      <c r="A15" s="18" t="s">
        <v>58</v>
      </c>
      <c r="B15" s="18" t="s">
        <v>92</v>
      </c>
      <c r="C15" s="18" t="s">
        <v>93</v>
      </c>
      <c r="D15" s="20" t="s">
        <v>54</v>
      </c>
      <c r="E15" s="20" t="s">
        <v>54</v>
      </c>
      <c r="F15" s="21" t="n">
        <f aca="false">AVERAGE(원본_CLI_OFF!O8:O10)</f>
        <v>12.7258666666667</v>
      </c>
      <c r="G15" s="22" t="n">
        <f aca="false">STDEV(원본_CLI_OFF!O8:O10)</f>
        <v>0.332371664456123</v>
      </c>
      <c r="H15" s="23" t="n">
        <f aca="false">AVERAGE(원본_CLI_ON!O8:O10)</f>
        <v>12.3272</v>
      </c>
      <c r="I15" s="22" t="n">
        <f aca="false">STDEV(원본_CLI_ON!O8:O10)</f>
        <v>0.305561712261206</v>
      </c>
      <c r="J15" s="22" t="n">
        <f aca="false">H15-F15</f>
        <v>-0.398666666666667</v>
      </c>
      <c r="K15" s="24" t="n">
        <f aca="false">IF(F15=0,"",J15/F15)</f>
        <v>-0.0313272704413059</v>
      </c>
      <c r="L15" s="18" t="str">
        <f aca="false">IF(ABS(J15)&gt;(G15+I15),"노이즈 초과","노이즈 수준")</f>
        <v>노이즈 수준</v>
      </c>
    </row>
    <row r="16" customFormat="false" ht="15" hidden="false" customHeight="false" outlineLevel="0" collapsed="false">
      <c r="A16" s="18" t="s">
        <v>58</v>
      </c>
      <c r="B16" s="18" t="s">
        <v>94</v>
      </c>
      <c r="C16" s="18" t="s">
        <v>93</v>
      </c>
      <c r="D16" s="20" t="s">
        <v>55</v>
      </c>
      <c r="E16" s="20" t="s">
        <v>55</v>
      </c>
      <c r="F16" s="21" t="n">
        <f aca="false">AVERAGE(원본_CLI_OFF!P8:P10)</f>
        <v>6.97832</v>
      </c>
      <c r="G16" s="22" t="n">
        <f aca="false">STDEV(원본_CLI_OFF!P8:P10)</f>
        <v>0.0401282307110593</v>
      </c>
      <c r="H16" s="23" t="n">
        <f aca="false">AVERAGE(원본_CLI_ON!P8:P10)</f>
        <v>7.94180333333333</v>
      </c>
      <c r="I16" s="22" t="n">
        <f aca="false">STDEV(원본_CLI_ON!P8:P10)</f>
        <v>0.148166935695294</v>
      </c>
      <c r="J16" s="22" t="n">
        <f aca="false">H16-F16</f>
        <v>0.963483333333333</v>
      </c>
      <c r="K16" s="24" t="n">
        <f aca="false">IF(F16=0,"",J16/F16)</f>
        <v>0.138068092797884</v>
      </c>
      <c r="L16" s="18" t="str">
        <f aca="false">IF(ABS(J16)&gt;(G16+I16),"노이즈 초과","노이즈 수준")</f>
        <v>노이즈 초과</v>
      </c>
    </row>
    <row r="17" customFormat="false" ht="15" hidden="false" customHeight="false" outlineLevel="0" collapsed="false">
      <c r="A17" s="25" t="s">
        <v>59</v>
      </c>
      <c r="B17" s="26" t="s">
        <v>89</v>
      </c>
      <c r="C17" s="25" t="s">
        <v>56</v>
      </c>
      <c r="D17" s="27" t="s">
        <v>90</v>
      </c>
      <c r="E17" s="27" t="s">
        <v>46</v>
      </c>
      <c r="F17" s="28" t="n">
        <f aca="false">AVERAGE(원본_CLI_OFF!G11:G13)</f>
        <v>25.1568</v>
      </c>
      <c r="G17" s="29" t="n">
        <f aca="false">STDEV(원본_CLI_OFF!G11:G13)</f>
        <v>0.0350999999999992</v>
      </c>
      <c r="H17" s="30" t="n">
        <f aca="false">AVERAGE(원본_CLI_ON!G11:G13)</f>
        <v>26.8767666666667</v>
      </c>
      <c r="I17" s="29" t="n">
        <f aca="false">STDEV(원본_CLI_ON!G11:G13)</f>
        <v>0.402768535679406</v>
      </c>
      <c r="J17" s="29" t="n">
        <f aca="false">H17-F17</f>
        <v>1.71996666666667</v>
      </c>
      <c r="K17" s="31" t="n">
        <f aca="false">IF(F17=0,"",J17/F17)</f>
        <v>0.0683698509614366</v>
      </c>
      <c r="L17" s="25" t="str">
        <f aca="false">IF(ABS(J17)&gt;(G17+I17),"노이즈 초과","노이즈 수준")</f>
        <v>노이즈 초과</v>
      </c>
    </row>
    <row r="18" customFormat="false" ht="15" hidden="false" customHeight="false" outlineLevel="0" collapsed="false">
      <c r="A18" s="25" t="s">
        <v>59</v>
      </c>
      <c r="B18" s="26" t="s">
        <v>89</v>
      </c>
      <c r="C18" s="25" t="s">
        <v>57</v>
      </c>
      <c r="D18" s="27" t="s">
        <v>95</v>
      </c>
      <c r="E18" s="27" t="s">
        <v>49</v>
      </c>
      <c r="F18" s="28" t="n">
        <f aca="false">AVERAGE(원본_CLI_OFF!J11:J13)</f>
        <v>25.1607333333333</v>
      </c>
      <c r="G18" s="29" t="n">
        <f aca="false">STDEV(원본_CLI_OFF!J11:J13)</f>
        <v>0.0660231272610842</v>
      </c>
      <c r="H18" s="30" t="n">
        <f aca="false">AVERAGE(원본_CLI_ON!J11:J13)</f>
        <v>28.0306</v>
      </c>
      <c r="I18" s="29" t="n">
        <f aca="false">STDEV(원본_CLI_ON!J11:J13)</f>
        <v>0.12312753550689</v>
      </c>
      <c r="J18" s="29" t="n">
        <f aca="false">H18-F18</f>
        <v>2.86986666666667</v>
      </c>
      <c r="K18" s="31" t="n">
        <f aca="false">IF(F18=0,"",J18/F18)</f>
        <v>0.114061328366158</v>
      </c>
      <c r="L18" s="25" t="str">
        <f aca="false">IF(ABS(J18)&gt;(G18+I18),"노이즈 초과","노이즈 수준")</f>
        <v>노이즈 초과</v>
      </c>
    </row>
    <row r="19" customFormat="false" ht="15" hidden="false" customHeight="false" outlineLevel="0" collapsed="false">
      <c r="A19" s="25" t="s">
        <v>59</v>
      </c>
      <c r="B19" s="25" t="s">
        <v>12</v>
      </c>
      <c r="C19" s="25" t="s">
        <v>56</v>
      </c>
      <c r="D19" s="27" t="s">
        <v>47</v>
      </c>
      <c r="E19" s="27" t="s">
        <v>91</v>
      </c>
      <c r="F19" s="28" t="n">
        <f aca="false">AVERAGE(원본_CLI_OFF!H11:H13)</f>
        <v>32.0327</v>
      </c>
      <c r="G19" s="29" t="n">
        <f aca="false">STDEV(원본_CLI_OFF!H11:H13)</f>
        <v>0.153441226533159</v>
      </c>
      <c r="H19" s="30" t="n">
        <f aca="false">AVERAGE(원본_CLI_ON!H11:H13)</f>
        <v>30.2846</v>
      </c>
      <c r="I19" s="29" t="n">
        <f aca="false">STDEV(원본_CLI_ON!H11:H13)</f>
        <v>0.367879559095093</v>
      </c>
      <c r="J19" s="29" t="n">
        <f aca="false">H19-F19</f>
        <v>-1.7481</v>
      </c>
      <c r="K19" s="31" t="n">
        <f aca="false">IF(F19=0,"",J19/F19)</f>
        <v>-0.0545723588707788</v>
      </c>
      <c r="L19" s="25" t="str">
        <f aca="false">IF(ABS(J19)&gt;(G19+I19),"노이즈 초과","노이즈 수준")</f>
        <v>노이즈 초과</v>
      </c>
    </row>
    <row r="20" customFormat="false" ht="15" hidden="false" customHeight="false" outlineLevel="0" collapsed="false">
      <c r="A20" s="25" t="s">
        <v>59</v>
      </c>
      <c r="B20" s="25" t="s">
        <v>12</v>
      </c>
      <c r="C20" s="25" t="s">
        <v>57</v>
      </c>
      <c r="D20" s="27" t="s">
        <v>50</v>
      </c>
      <c r="E20" s="27" t="s">
        <v>96</v>
      </c>
      <c r="F20" s="28" t="n">
        <f aca="false">AVERAGE(원본_CLI_OFF!K11:K13)</f>
        <v>31.9858666666667</v>
      </c>
      <c r="G20" s="29" t="n">
        <f aca="false">STDEV(원본_CLI_OFF!K11:K13)</f>
        <v>0.248006296963069</v>
      </c>
      <c r="H20" s="30" t="n">
        <f aca="false">AVERAGE(원본_CLI_ON!K11:K13)</f>
        <v>29.2424666666667</v>
      </c>
      <c r="I20" s="29" t="n">
        <f aca="false">STDEV(원본_CLI_ON!K11:K13)</f>
        <v>0.1193013970301</v>
      </c>
      <c r="J20" s="29" t="n">
        <f aca="false">H20-F20</f>
        <v>-2.7434</v>
      </c>
      <c r="K20" s="31" t="n">
        <f aca="false">IF(F20=0,"",J20/F20)</f>
        <v>-0.0857691313663534</v>
      </c>
      <c r="L20" s="25" t="str">
        <f aca="false">IF(ABS(J20)&gt;(G20+I20),"노이즈 초과","노이즈 수준")</f>
        <v>노이즈 초과</v>
      </c>
    </row>
    <row r="21" customFormat="false" ht="15" hidden="false" customHeight="false" outlineLevel="0" collapsed="false">
      <c r="A21" s="25" t="s">
        <v>59</v>
      </c>
      <c r="B21" s="25" t="s">
        <v>92</v>
      </c>
      <c r="C21" s="25" t="s">
        <v>93</v>
      </c>
      <c r="D21" s="27" t="s">
        <v>54</v>
      </c>
      <c r="E21" s="27" t="s">
        <v>54</v>
      </c>
      <c r="F21" s="28" t="n">
        <f aca="false">AVERAGE(원본_CLI_OFF!O11:O13)</f>
        <v>19.1542333333333</v>
      </c>
      <c r="G21" s="29" t="n">
        <f aca="false">STDEV(원본_CLI_OFF!O11:O13)</f>
        <v>0.207132670849707</v>
      </c>
      <c r="H21" s="30" t="n">
        <f aca="false">AVERAGE(원본_CLI_ON!O11:O13)</f>
        <v>18.0408</v>
      </c>
      <c r="I21" s="29" t="n">
        <f aca="false">STDEV(원본_CLI_ON!O11:O13)</f>
        <v>0.198355463751317</v>
      </c>
      <c r="J21" s="29" t="n">
        <f aca="false">H21-F21</f>
        <v>-1.11343333333333</v>
      </c>
      <c r="K21" s="31" t="n">
        <f aca="false">IF(F21=0,"",J21/F21)</f>
        <v>-0.0581298825150924</v>
      </c>
      <c r="L21" s="25" t="str">
        <f aca="false">IF(ABS(J21)&gt;(G21+I21),"노이즈 초과","노이즈 수준")</f>
        <v>노이즈 초과</v>
      </c>
    </row>
    <row r="22" customFormat="false" ht="15" hidden="false" customHeight="false" outlineLevel="0" collapsed="false">
      <c r="A22" s="25" t="s">
        <v>59</v>
      </c>
      <c r="B22" s="25" t="s">
        <v>94</v>
      </c>
      <c r="C22" s="25" t="s">
        <v>93</v>
      </c>
      <c r="D22" s="27" t="s">
        <v>55</v>
      </c>
      <c r="E22" s="27" t="s">
        <v>55</v>
      </c>
      <c r="F22" s="28" t="n">
        <f aca="false">AVERAGE(원본_CLI_OFF!P11:P13)</f>
        <v>7.863</v>
      </c>
      <c r="G22" s="29" t="n">
        <f aca="false">STDEV(원본_CLI_OFF!P11:P13)</f>
        <v>0.155748330007099</v>
      </c>
      <c r="H22" s="30" t="n">
        <f aca="false">AVERAGE(원본_CLI_ON!P11:P13)</f>
        <v>8.48978333333333</v>
      </c>
      <c r="I22" s="29" t="n">
        <f aca="false">STDEV(원본_CLI_ON!P11:P13)</f>
        <v>0.230275999038835</v>
      </c>
      <c r="J22" s="29" t="n">
        <f aca="false">H22-F22</f>
        <v>0.626783333333334</v>
      </c>
      <c r="K22" s="31" t="n">
        <f aca="false">IF(F22=0,"",J22/F22)</f>
        <v>0.0797130018228836</v>
      </c>
      <c r="L22" s="25" t="str">
        <f aca="false">IF(ABS(J22)&gt;(G22+I22),"노이즈 초과","노이즈 수준")</f>
        <v>노이즈 초과</v>
      </c>
    </row>
    <row r="23" customFormat="false" ht="15" hidden="false" customHeight="false" outlineLevel="0" collapsed="false">
      <c r="A23" s="18" t="s">
        <v>60</v>
      </c>
      <c r="B23" s="19" t="s">
        <v>89</v>
      </c>
      <c r="C23" s="18" t="s">
        <v>56</v>
      </c>
      <c r="D23" s="20" t="s">
        <v>90</v>
      </c>
      <c r="E23" s="20" t="s">
        <v>46</v>
      </c>
      <c r="F23" s="21" t="n">
        <f aca="false">AVERAGE(원본_CLI_OFF!G14:G16)</f>
        <v>20.7239333333333</v>
      </c>
      <c r="G23" s="22" t="n">
        <f aca="false">STDEV(원본_CLI_OFF!G14:G16)</f>
        <v>0.0663597267424559</v>
      </c>
      <c r="H23" s="23" t="n">
        <f aca="false">AVERAGE(원본_CLI_ON!G14:G16)</f>
        <v>23.5648333333333</v>
      </c>
      <c r="I23" s="22" t="n">
        <f aca="false">STDEV(원본_CLI_ON!G14:G16)</f>
        <v>0.183785128161483</v>
      </c>
      <c r="J23" s="22" t="n">
        <f aca="false">H23-F23</f>
        <v>2.8409</v>
      </c>
      <c r="K23" s="24" t="n">
        <f aca="false">IF(F23=0,"",J23/F23)</f>
        <v>0.137083050514864</v>
      </c>
      <c r="L23" s="18" t="str">
        <f aca="false">IF(ABS(J23)&gt;(G23+I23),"노이즈 초과","노이즈 수준")</f>
        <v>노이즈 초과</v>
      </c>
    </row>
    <row r="24" customFormat="false" ht="15" hidden="false" customHeight="false" outlineLevel="0" collapsed="false">
      <c r="A24" s="18" t="s">
        <v>60</v>
      </c>
      <c r="B24" s="19" t="s">
        <v>89</v>
      </c>
      <c r="C24" s="18" t="s">
        <v>58</v>
      </c>
      <c r="D24" s="20" t="s">
        <v>97</v>
      </c>
      <c r="E24" s="20" t="s">
        <v>52</v>
      </c>
      <c r="F24" s="21" t="n">
        <f aca="false">AVERAGE(원본_CLI_OFF!M14:M16)</f>
        <v>20.745</v>
      </c>
      <c r="G24" s="22" t="n">
        <f aca="false">STDEV(원본_CLI_OFF!M14:M16)</f>
        <v>0.0841791541891458</v>
      </c>
      <c r="H24" s="23" t="n">
        <f aca="false">AVERAGE(원본_CLI_ON!M14:M16)</f>
        <v>23.6841</v>
      </c>
      <c r="I24" s="22" t="n">
        <f aca="false">STDEV(원본_CLI_ON!M14:M16)</f>
        <v>0.0875572384215037</v>
      </c>
      <c r="J24" s="22" t="n">
        <f aca="false">H24-F24</f>
        <v>2.9391</v>
      </c>
      <c r="K24" s="24" t="n">
        <f aca="false">IF(F24=0,"",J24/F24)</f>
        <v>0.141677512653651</v>
      </c>
      <c r="L24" s="18" t="str">
        <f aca="false">IF(ABS(J24)&gt;(G24+I24),"노이즈 초과","노이즈 수준")</f>
        <v>노이즈 초과</v>
      </c>
    </row>
    <row r="25" customFormat="false" ht="15" hidden="false" customHeight="false" outlineLevel="0" collapsed="false">
      <c r="A25" s="18" t="s">
        <v>60</v>
      </c>
      <c r="B25" s="18" t="s">
        <v>12</v>
      </c>
      <c r="C25" s="18" t="s">
        <v>56</v>
      </c>
      <c r="D25" s="20" t="s">
        <v>47</v>
      </c>
      <c r="E25" s="20" t="s">
        <v>91</v>
      </c>
      <c r="F25" s="21" t="n">
        <f aca="false">AVERAGE(원본_CLI_OFF!H14:H16)</f>
        <v>38.236</v>
      </c>
      <c r="G25" s="22" t="n">
        <f aca="false">STDEV(원본_CLI_OFF!H14:H16)</f>
        <v>0.722028399718459</v>
      </c>
      <c r="H25" s="23" t="n">
        <f aca="false">AVERAGE(원본_CLI_ON!H14:H16)</f>
        <v>34.5234666666667</v>
      </c>
      <c r="I25" s="22" t="n">
        <f aca="false">STDEV(원본_CLI_ON!H14:H16)</f>
        <v>0.340603498709767</v>
      </c>
      <c r="J25" s="22" t="n">
        <f aca="false">H25-F25</f>
        <v>-3.71253333333333</v>
      </c>
      <c r="K25" s="24" t="n">
        <f aca="false">IF(F25=0,"",J25/F25)</f>
        <v>-0.0970952331136449</v>
      </c>
      <c r="L25" s="18" t="str">
        <f aca="false">IF(ABS(J25)&gt;(G25+I25),"노이즈 초과","노이즈 수준")</f>
        <v>노이즈 초과</v>
      </c>
    </row>
    <row r="26" customFormat="false" ht="15" hidden="false" customHeight="false" outlineLevel="0" collapsed="false">
      <c r="A26" s="18" t="s">
        <v>60</v>
      </c>
      <c r="B26" s="18" t="s">
        <v>12</v>
      </c>
      <c r="C26" s="18" t="s">
        <v>58</v>
      </c>
      <c r="D26" s="20" t="s">
        <v>53</v>
      </c>
      <c r="E26" s="20" t="s">
        <v>98</v>
      </c>
      <c r="F26" s="21" t="n">
        <f aca="false">AVERAGE(원본_CLI_OFF!N14:N16)</f>
        <v>38.2378</v>
      </c>
      <c r="G26" s="22" t="n">
        <f aca="false">STDEV(원본_CLI_OFF!N14:N16)</f>
        <v>0.754626139223919</v>
      </c>
      <c r="H26" s="23" t="n">
        <f aca="false">AVERAGE(원본_CLI_ON!N14:N16)</f>
        <v>34.3902</v>
      </c>
      <c r="I26" s="22" t="n">
        <f aca="false">STDEV(원본_CLI_ON!N14:N16)</f>
        <v>0.43193655784154</v>
      </c>
      <c r="J26" s="22" t="n">
        <f aca="false">H26-F26</f>
        <v>-3.8476</v>
      </c>
      <c r="K26" s="24" t="n">
        <f aca="false">IF(F26=0,"",J26/F26)</f>
        <v>-0.100622943788607</v>
      </c>
      <c r="L26" s="18" t="str">
        <f aca="false">IF(ABS(J26)&gt;(G26+I26),"노이즈 초과","노이즈 수준")</f>
        <v>노이즈 초과</v>
      </c>
    </row>
    <row r="27" customFormat="false" ht="15" hidden="false" customHeight="false" outlineLevel="0" collapsed="false">
      <c r="A27" s="18" t="s">
        <v>60</v>
      </c>
      <c r="B27" s="18" t="s">
        <v>92</v>
      </c>
      <c r="C27" s="18" t="s">
        <v>93</v>
      </c>
      <c r="D27" s="20" t="s">
        <v>54</v>
      </c>
      <c r="E27" s="20" t="s">
        <v>54</v>
      </c>
      <c r="F27" s="21" t="n">
        <f aca="false">AVERAGE(원본_CLI_OFF!O14:O16)</f>
        <v>21.2264333333333</v>
      </c>
      <c r="G27" s="22" t="n">
        <f aca="false">STDEV(원본_CLI_OFF!O14:O16)</f>
        <v>0.630340815220888</v>
      </c>
      <c r="H27" s="23" t="n">
        <f aca="false">AVERAGE(원본_CLI_ON!O14:O16)</f>
        <v>19.7349333333333</v>
      </c>
      <c r="I27" s="22" t="n">
        <f aca="false">STDEV(원본_CLI_ON!O14:O16)</f>
        <v>0.590650254662887</v>
      </c>
      <c r="J27" s="22" t="n">
        <f aca="false">H27-F27</f>
        <v>-1.4915</v>
      </c>
      <c r="K27" s="24" t="n">
        <f aca="false">IF(F27=0,"",J27/F27)</f>
        <v>-0.070266161845372</v>
      </c>
      <c r="L27" s="18" t="str">
        <f aca="false">IF(ABS(J27)&gt;(G27+I27),"노이즈 초과","노이즈 수준")</f>
        <v>노이즈 초과</v>
      </c>
    </row>
    <row r="28" customFormat="false" ht="15" hidden="false" customHeight="false" outlineLevel="0" collapsed="false">
      <c r="A28" s="18" t="s">
        <v>60</v>
      </c>
      <c r="B28" s="18" t="s">
        <v>94</v>
      </c>
      <c r="C28" s="18" t="s">
        <v>93</v>
      </c>
      <c r="D28" s="20" t="s">
        <v>55</v>
      </c>
      <c r="E28" s="20" t="s">
        <v>55</v>
      </c>
      <c r="F28" s="21" t="n">
        <f aca="false">AVERAGE(원본_CLI_OFF!P14:P16)</f>
        <v>7.81261</v>
      </c>
      <c r="G28" s="22" t="n">
        <f aca="false">STDEV(원본_CLI_OFF!P14:P16)</f>
        <v>0.141964320869717</v>
      </c>
      <c r="H28" s="23" t="n">
        <f aca="false">AVERAGE(원본_CLI_ON!P14:P16)</f>
        <v>8.55243666666667</v>
      </c>
      <c r="I28" s="22" t="n">
        <f aca="false">STDEV(원본_CLI_ON!P14:P16)</f>
        <v>0.212338424533416</v>
      </c>
      <c r="J28" s="22" t="n">
        <f aca="false">H28-F28</f>
        <v>0.739826666666668</v>
      </c>
      <c r="K28" s="24" t="n">
        <f aca="false">IF(F28=0,"",J28/F28)</f>
        <v>0.094696480006895</v>
      </c>
      <c r="L28" s="18" t="str">
        <f aca="false">IF(ABS(J28)&gt;(G28+I28),"노이즈 초과","노이즈 수준")</f>
        <v>노이즈 초과</v>
      </c>
    </row>
    <row r="29" customFormat="false" ht="15" hidden="false" customHeight="false" outlineLevel="0" collapsed="false">
      <c r="A29" s="25" t="s">
        <v>61</v>
      </c>
      <c r="B29" s="26" t="s">
        <v>89</v>
      </c>
      <c r="C29" s="25" t="s">
        <v>57</v>
      </c>
      <c r="D29" s="27" t="s">
        <v>95</v>
      </c>
      <c r="E29" s="27" t="s">
        <v>49</v>
      </c>
      <c r="F29" s="28" t="n">
        <f aca="false">AVERAGE(원본_CLI_OFF!J17:J19)</f>
        <v>25.5236666666667</v>
      </c>
      <c r="G29" s="29" t="n">
        <f aca="false">STDEV(원본_CLI_OFF!J17:J19)</f>
        <v>0.0615079127700932</v>
      </c>
      <c r="H29" s="30" t="n">
        <f aca="false">AVERAGE(원본_CLI_ON!J17:J19)</f>
        <v>29.2417</v>
      </c>
      <c r="I29" s="29" t="n">
        <f aca="false">STDEV(원본_CLI_ON!J17:J19)</f>
        <v>0.0153306881776388</v>
      </c>
      <c r="J29" s="29" t="n">
        <f aca="false">H29-F29</f>
        <v>3.71803333333333</v>
      </c>
      <c r="K29" s="31" t="n">
        <f aca="false">IF(F29=0,"",J29/F29)</f>
        <v>0.145670031735252</v>
      </c>
      <c r="L29" s="25" t="str">
        <f aca="false">IF(ABS(J29)&gt;(G29+I29),"노이즈 초과","노이즈 수준")</f>
        <v>노이즈 초과</v>
      </c>
    </row>
    <row r="30" customFormat="false" ht="15" hidden="false" customHeight="false" outlineLevel="0" collapsed="false">
      <c r="A30" s="25" t="s">
        <v>61</v>
      </c>
      <c r="B30" s="26" t="s">
        <v>89</v>
      </c>
      <c r="C30" s="25" t="s">
        <v>58</v>
      </c>
      <c r="D30" s="27" t="s">
        <v>97</v>
      </c>
      <c r="E30" s="27" t="s">
        <v>52</v>
      </c>
      <c r="F30" s="28" t="n">
        <f aca="false">AVERAGE(원본_CLI_OFF!M17:M19)</f>
        <v>25.5649666666667</v>
      </c>
      <c r="G30" s="29" t="n">
        <f aca="false">STDEV(원본_CLI_OFF!M17:M19)</f>
        <v>0.043083910376537</v>
      </c>
      <c r="H30" s="30" t="n">
        <f aca="false">AVERAGE(원본_CLI_ON!M17:M19)</f>
        <v>27.8121666666667</v>
      </c>
      <c r="I30" s="29" t="n">
        <f aca="false">STDEV(원본_CLI_ON!M17:M19)</f>
        <v>0.17443099877411</v>
      </c>
      <c r="J30" s="29" t="n">
        <f aca="false">H30-F30</f>
        <v>2.2472</v>
      </c>
      <c r="K30" s="31" t="n">
        <f aca="false">IF(F30=0,"",J30/F30)</f>
        <v>0.0879015423450581</v>
      </c>
      <c r="L30" s="25" t="str">
        <f aca="false">IF(ABS(J30)&gt;(G30+I30),"노이즈 초과","노이즈 수준")</f>
        <v>노이즈 초과</v>
      </c>
    </row>
    <row r="31" customFormat="false" ht="15" hidden="false" customHeight="false" outlineLevel="0" collapsed="false">
      <c r="A31" s="25" t="s">
        <v>61</v>
      </c>
      <c r="B31" s="25" t="s">
        <v>12</v>
      </c>
      <c r="C31" s="25" t="s">
        <v>57</v>
      </c>
      <c r="D31" s="27" t="s">
        <v>50</v>
      </c>
      <c r="E31" s="27" t="s">
        <v>96</v>
      </c>
      <c r="F31" s="28" t="n">
        <f aca="false">AVERAGE(원본_CLI_OFF!K17:K19)</f>
        <v>31.5831333333333</v>
      </c>
      <c r="G31" s="29" t="n">
        <f aca="false">STDEV(원본_CLI_OFF!K17:K19)</f>
        <v>0.0501850907474847</v>
      </c>
      <c r="H31" s="30" t="n">
        <f aca="false">AVERAGE(원본_CLI_ON!K17:K19)</f>
        <v>28.2496</v>
      </c>
      <c r="I31" s="29" t="n">
        <f aca="false">STDEV(원본_CLI_ON!K17:K19)</f>
        <v>0.1886106306654</v>
      </c>
      <c r="J31" s="29" t="n">
        <f aca="false">H31-F31</f>
        <v>-3.33353333333334</v>
      </c>
      <c r="K31" s="31" t="n">
        <f aca="false">IF(F31=0,"",J31/F31)</f>
        <v>-0.105547897928641</v>
      </c>
      <c r="L31" s="25" t="str">
        <f aca="false">IF(ABS(J31)&gt;(G31+I31),"노이즈 초과","노이즈 수준")</f>
        <v>노이즈 초과</v>
      </c>
    </row>
    <row r="32" customFormat="false" ht="15" hidden="false" customHeight="false" outlineLevel="0" collapsed="false">
      <c r="A32" s="25" t="s">
        <v>61</v>
      </c>
      <c r="B32" s="25" t="s">
        <v>12</v>
      </c>
      <c r="C32" s="25" t="s">
        <v>58</v>
      </c>
      <c r="D32" s="27" t="s">
        <v>53</v>
      </c>
      <c r="E32" s="27" t="s">
        <v>98</v>
      </c>
      <c r="F32" s="28" t="n">
        <f aca="false">AVERAGE(원본_CLI_OFF!N17:N19)</f>
        <v>31.645</v>
      </c>
      <c r="G32" s="29" t="n">
        <f aca="false">STDEV(원본_CLI_OFF!N17:N19)</f>
        <v>0.0527071152691934</v>
      </c>
      <c r="H32" s="30" t="n">
        <f aca="false">AVERAGE(원본_CLI_ON!N17:N19)</f>
        <v>29.4841666666667</v>
      </c>
      <c r="I32" s="29" t="n">
        <f aca="false">STDEV(원본_CLI_ON!N17:N19)</f>
        <v>0.154027573289114</v>
      </c>
      <c r="J32" s="29" t="n">
        <f aca="false">H32-F32</f>
        <v>-2.16083333333333</v>
      </c>
      <c r="K32" s="31" t="n">
        <f aca="false">IF(F32=0,"",J32/F32)</f>
        <v>-0.0682835624374572</v>
      </c>
      <c r="L32" s="25" t="str">
        <f aca="false">IF(ABS(J32)&gt;(G32+I32),"노이즈 초과","노이즈 수준")</f>
        <v>노이즈 초과</v>
      </c>
    </row>
    <row r="33" customFormat="false" ht="15" hidden="false" customHeight="false" outlineLevel="0" collapsed="false">
      <c r="A33" s="25" t="s">
        <v>61</v>
      </c>
      <c r="B33" s="25" t="s">
        <v>92</v>
      </c>
      <c r="C33" s="25" t="s">
        <v>93</v>
      </c>
      <c r="D33" s="27" t="s">
        <v>54</v>
      </c>
      <c r="E33" s="27" t="s">
        <v>54</v>
      </c>
      <c r="F33" s="28" t="n">
        <f aca="false">AVERAGE(원본_CLI_OFF!O17:O19)</f>
        <v>19.0487666666667</v>
      </c>
      <c r="G33" s="29" t="n">
        <f aca="false">STDEV(원본_CLI_OFF!O17:O19)</f>
        <v>0.274828698161843</v>
      </c>
      <c r="H33" s="30" t="n">
        <f aca="false">AVERAGE(원본_CLI_ON!O17:O19)</f>
        <v>17.7205</v>
      </c>
      <c r="I33" s="29" t="n">
        <f aca="false">STDEV(원본_CLI_ON!O17:O19)</f>
        <v>0.591657155792103</v>
      </c>
      <c r="J33" s="29" t="n">
        <f aca="false">H33-F33</f>
        <v>-1.32826666666666</v>
      </c>
      <c r="K33" s="31" t="n">
        <f aca="false">IF(F33=0,"",J33/F33)</f>
        <v>-0.0697297987796234</v>
      </c>
      <c r="L33" s="25" t="str">
        <f aca="false">IF(ABS(J33)&gt;(G33+I33),"노이즈 초과","노이즈 수준")</f>
        <v>노이즈 초과</v>
      </c>
    </row>
    <row r="34" customFormat="false" ht="15" hidden="false" customHeight="false" outlineLevel="0" collapsed="false">
      <c r="A34" s="25" t="s">
        <v>61</v>
      </c>
      <c r="B34" s="25" t="s">
        <v>94</v>
      </c>
      <c r="C34" s="25" t="s">
        <v>93</v>
      </c>
      <c r="D34" s="27" t="s">
        <v>55</v>
      </c>
      <c r="E34" s="27" t="s">
        <v>55</v>
      </c>
      <c r="F34" s="28" t="n">
        <f aca="false">AVERAGE(원본_CLI_OFF!P17:P19)</f>
        <v>8.1872</v>
      </c>
      <c r="G34" s="29" t="n">
        <f aca="false">STDEV(원본_CLI_OFF!P17:P19)</f>
        <v>0.28604928176802</v>
      </c>
      <c r="H34" s="30" t="n">
        <f aca="false">AVERAGE(원본_CLI_ON!P17:P19)</f>
        <v>8.68244333333333</v>
      </c>
      <c r="I34" s="29" t="n">
        <f aca="false">STDEV(원본_CLI_ON!P17:P19)</f>
        <v>0.115535263159493</v>
      </c>
      <c r="J34" s="29" t="n">
        <f aca="false">H34-F34</f>
        <v>0.495243333333335</v>
      </c>
      <c r="K34" s="31" t="n">
        <f aca="false">IF(F34=0,"",J34/F34)</f>
        <v>0.0604899517946715</v>
      </c>
      <c r="L34" s="25" t="str">
        <f aca="false">IF(ABS(J34)&gt;(G34+I34),"노이즈 초과","노이즈 수준")</f>
        <v>노이즈 초과</v>
      </c>
    </row>
    <row r="35" customFormat="false" ht="15" hidden="false" customHeight="false" outlineLevel="0" collapsed="false">
      <c r="A35" s="18" t="s">
        <v>62</v>
      </c>
      <c r="B35" s="19" t="s">
        <v>89</v>
      </c>
      <c r="C35" s="18" t="s">
        <v>56</v>
      </c>
      <c r="D35" s="20" t="s">
        <v>90</v>
      </c>
      <c r="E35" s="20" t="s">
        <v>46</v>
      </c>
      <c r="F35" s="21" t="n">
        <f aca="false">AVERAGE(원본_CLI_OFF!G20:G22)</f>
        <v>25.9363333333333</v>
      </c>
      <c r="G35" s="22" t="n">
        <f aca="false">STDEV(원본_CLI_OFF!G20:G22)</f>
        <v>0.102954957788993</v>
      </c>
      <c r="H35" s="23" t="n">
        <f aca="false">AVERAGE(원본_CLI_ON!G20:G22)</f>
        <v>26.228</v>
      </c>
      <c r="I35" s="22" t="n">
        <f aca="false">STDEV(원본_CLI_ON!G20:G22)</f>
        <v>0.885765538954864</v>
      </c>
      <c r="J35" s="22" t="n">
        <f aca="false">H35-F35</f>
        <v>0.291666666666664</v>
      </c>
      <c r="K35" s="24" t="n">
        <f aca="false">IF(F35=0,"",J35/F35)</f>
        <v>0.011245485740724</v>
      </c>
      <c r="L35" s="18" t="str">
        <f aca="false">IF(ABS(J35)&gt;(G35+I35),"노이즈 초과","노이즈 수준")</f>
        <v>노이즈 수준</v>
      </c>
    </row>
    <row r="36" customFormat="false" ht="15" hidden="false" customHeight="false" outlineLevel="0" collapsed="false">
      <c r="A36" s="18" t="s">
        <v>62</v>
      </c>
      <c r="B36" s="19" t="s">
        <v>89</v>
      </c>
      <c r="C36" s="18" t="s">
        <v>57</v>
      </c>
      <c r="D36" s="20" t="s">
        <v>95</v>
      </c>
      <c r="E36" s="20" t="s">
        <v>49</v>
      </c>
      <c r="F36" s="21" t="n">
        <f aca="false">AVERAGE(원본_CLI_OFF!J20:J22)</f>
        <v>25.8181666666667</v>
      </c>
      <c r="G36" s="22" t="n">
        <f aca="false">STDEV(원본_CLI_OFF!J20:J22)</f>
        <v>0.150209065416615</v>
      </c>
      <c r="H36" s="23" t="n">
        <f aca="false">AVERAGE(원본_CLI_ON!J20:J22)</f>
        <v>26.6891333333333</v>
      </c>
      <c r="I36" s="22" t="n">
        <f aca="false">STDEV(원본_CLI_ON!J20:J22)</f>
        <v>0.208360488896847</v>
      </c>
      <c r="J36" s="22" t="n">
        <f aca="false">H36-F36</f>
        <v>0.870966666666668</v>
      </c>
      <c r="K36" s="24" t="n">
        <f aca="false">IF(F36=0,"",J36/F36)</f>
        <v>0.033734644210472</v>
      </c>
      <c r="L36" s="18" t="str">
        <f aca="false">IF(ABS(J36)&gt;(G36+I36),"노이즈 초과","노이즈 수준")</f>
        <v>노이즈 초과</v>
      </c>
    </row>
    <row r="37" customFormat="false" ht="15" hidden="false" customHeight="false" outlineLevel="0" collapsed="false">
      <c r="A37" s="18" t="s">
        <v>62</v>
      </c>
      <c r="B37" s="19" t="s">
        <v>89</v>
      </c>
      <c r="C37" s="18" t="s">
        <v>58</v>
      </c>
      <c r="D37" s="20" t="s">
        <v>97</v>
      </c>
      <c r="E37" s="20" t="s">
        <v>52</v>
      </c>
      <c r="F37" s="21" t="n">
        <f aca="false">AVERAGE(원본_CLI_OFF!M20:M22)</f>
        <v>25.8600333333333</v>
      </c>
      <c r="G37" s="22" t="n">
        <f aca="false">STDEV(원본_CLI_OFF!M20:M22)</f>
        <v>0.0664122227706106</v>
      </c>
      <c r="H37" s="23" t="n">
        <f aca="false">AVERAGE(원본_CLI_ON!M20:M22)</f>
        <v>26.6922</v>
      </c>
      <c r="I37" s="22" t="n">
        <f aca="false">STDEV(원본_CLI_ON!M20:M22)</f>
        <v>0.271020239096641</v>
      </c>
      <c r="J37" s="22" t="n">
        <f aca="false">H37-F37</f>
        <v>0.832166666666666</v>
      </c>
      <c r="K37" s="24" t="n">
        <f aca="false">IF(F37=0,"",J37/F37)</f>
        <v>0.032179644006646</v>
      </c>
      <c r="L37" s="18" t="str">
        <f aca="false">IF(ABS(J37)&gt;(G37+I37),"노이즈 초과","노이즈 수준")</f>
        <v>노이즈 초과</v>
      </c>
    </row>
    <row r="38" customFormat="false" ht="15" hidden="false" customHeight="false" outlineLevel="0" collapsed="false">
      <c r="A38" s="18" t="s">
        <v>62</v>
      </c>
      <c r="B38" s="18" t="s">
        <v>12</v>
      </c>
      <c r="C38" s="18" t="s">
        <v>56</v>
      </c>
      <c r="D38" s="20" t="s">
        <v>47</v>
      </c>
      <c r="E38" s="20" t="s">
        <v>91</v>
      </c>
      <c r="F38" s="21" t="n">
        <f aca="false">AVERAGE(원본_CLI_OFF!H20:H22)</f>
        <v>31.7123666666667</v>
      </c>
      <c r="G38" s="22" t="n">
        <f aca="false">STDEV(원본_CLI_OFF!H20:H22)</f>
        <v>0.353302056791824</v>
      </c>
      <c r="H38" s="23" t="n">
        <f aca="false">AVERAGE(원본_CLI_ON!H20:H22)</f>
        <v>31.1707</v>
      </c>
      <c r="I38" s="22" t="n">
        <f aca="false">STDEV(원본_CLI_ON!H20:H22)</f>
        <v>0.245773493281924</v>
      </c>
      <c r="J38" s="22" t="n">
        <f aca="false">H38-F38</f>
        <v>-0.541666666666668</v>
      </c>
      <c r="K38" s="24" t="n">
        <f aca="false">IF(F38=0,"",J38/F38)</f>
        <v>-0.0170806131362003</v>
      </c>
      <c r="L38" s="18" t="str">
        <f aca="false">IF(ABS(J38)&gt;(G38+I38),"노이즈 초과","노이즈 수준")</f>
        <v>노이즈 수준</v>
      </c>
    </row>
    <row r="39" customFormat="false" ht="15" hidden="false" customHeight="false" outlineLevel="0" collapsed="false">
      <c r="A39" s="18" t="s">
        <v>62</v>
      </c>
      <c r="B39" s="18" t="s">
        <v>12</v>
      </c>
      <c r="C39" s="18" t="s">
        <v>57</v>
      </c>
      <c r="D39" s="20" t="s">
        <v>50</v>
      </c>
      <c r="E39" s="20" t="s">
        <v>96</v>
      </c>
      <c r="F39" s="21" t="n">
        <f aca="false">AVERAGE(원본_CLI_OFF!K20:K22)</f>
        <v>31.7022666666667</v>
      </c>
      <c r="G39" s="22" t="n">
        <f aca="false">STDEV(원본_CLI_OFF!K20:K22)</f>
        <v>0.353987236116407</v>
      </c>
      <c r="H39" s="23" t="n">
        <f aca="false">AVERAGE(원본_CLI_ON!K20:K22)</f>
        <v>31.0071333333333</v>
      </c>
      <c r="I39" s="22" t="n">
        <f aca="false">STDEV(원본_CLI_ON!K20:K22)</f>
        <v>0.270360025398233</v>
      </c>
      <c r="J39" s="22" t="n">
        <f aca="false">H39-F39</f>
        <v>-0.695133333333338</v>
      </c>
      <c r="K39" s="24" t="n">
        <f aca="false">IF(F39=0,"",J39/F39)</f>
        <v>-0.02192692846358</v>
      </c>
      <c r="L39" s="18" t="str">
        <f aca="false">IF(ABS(J39)&gt;(G39+I39),"노이즈 초과","노이즈 수준")</f>
        <v>노이즈 초과</v>
      </c>
    </row>
    <row r="40" customFormat="false" ht="15" hidden="false" customHeight="false" outlineLevel="0" collapsed="false">
      <c r="A40" s="18" t="s">
        <v>62</v>
      </c>
      <c r="B40" s="18" t="s">
        <v>12</v>
      </c>
      <c r="C40" s="18" t="s">
        <v>58</v>
      </c>
      <c r="D40" s="20" t="s">
        <v>53</v>
      </c>
      <c r="E40" s="20" t="s">
        <v>98</v>
      </c>
      <c r="F40" s="21" t="n">
        <f aca="false">AVERAGE(원본_CLI_OFF!N20:N22)</f>
        <v>31.7397666666667</v>
      </c>
      <c r="G40" s="22" t="n">
        <f aca="false">STDEV(원본_CLI_OFF!N20:N22)</f>
        <v>0.41248910692688</v>
      </c>
      <c r="H40" s="23" t="n">
        <f aca="false">AVERAGE(원본_CLI_ON!N20:N22)</f>
        <v>31.0688333333333</v>
      </c>
      <c r="I40" s="22" t="n">
        <f aca="false">STDEV(원본_CLI_ON!N20:N22)</f>
        <v>0.311690942013613</v>
      </c>
      <c r="J40" s="22" t="n">
        <f aca="false">H40-F40</f>
        <v>-0.670933333333334</v>
      </c>
      <c r="K40" s="24" t="n">
        <f aca="false">IF(F40=0,"",J40/F40)</f>
        <v>-0.0211385716971245</v>
      </c>
      <c r="L40" s="18" t="str">
        <f aca="false">IF(ABS(J40)&gt;(G40+I40),"노이즈 초과","노이즈 수준")</f>
        <v>노이즈 수준</v>
      </c>
    </row>
    <row r="41" customFormat="false" ht="15" hidden="false" customHeight="false" outlineLevel="0" collapsed="false">
      <c r="A41" s="18" t="s">
        <v>62</v>
      </c>
      <c r="B41" s="18" t="s">
        <v>92</v>
      </c>
      <c r="C41" s="18" t="s">
        <v>93</v>
      </c>
      <c r="D41" s="20" t="s">
        <v>54</v>
      </c>
      <c r="E41" s="20" t="s">
        <v>54</v>
      </c>
      <c r="F41" s="21" t="n">
        <f aca="false">AVERAGE(원본_CLI_OFF!O20:O22)</f>
        <v>26.9480333333333</v>
      </c>
      <c r="G41" s="22" t="n">
        <f aca="false">STDEV(원본_CLI_OFF!O20:O22)</f>
        <v>1.31566665357656</v>
      </c>
      <c r="H41" s="23" t="n">
        <f aca="false">AVERAGE(원본_CLI_ON!O20:O22)</f>
        <v>25.4252666666667</v>
      </c>
      <c r="I41" s="22" t="n">
        <f aca="false">STDEV(원본_CLI_ON!O20:O22)</f>
        <v>0.387132655989306</v>
      </c>
      <c r="J41" s="22" t="n">
        <f aca="false">H41-F41</f>
        <v>-1.52276666666666</v>
      </c>
      <c r="K41" s="24" t="n">
        <f aca="false">IF(F41=0,"",J41/F41)</f>
        <v>-0.0565075249770854</v>
      </c>
      <c r="L41" s="18" t="str">
        <f aca="false">IF(ABS(J41)&gt;(G41+I41),"노이즈 초과","노이즈 수준")</f>
        <v>노이즈 수준</v>
      </c>
    </row>
    <row r="42" customFormat="false" ht="15" hidden="false" customHeight="false" outlineLevel="0" collapsed="false">
      <c r="A42" s="18" t="s">
        <v>62</v>
      </c>
      <c r="B42" s="18" t="s">
        <v>94</v>
      </c>
      <c r="C42" s="18" t="s">
        <v>93</v>
      </c>
      <c r="D42" s="20" t="s">
        <v>55</v>
      </c>
      <c r="E42" s="20" t="s">
        <v>55</v>
      </c>
      <c r="F42" s="21" t="n">
        <f aca="false">AVERAGE(원본_CLI_OFF!P20:P22)</f>
        <v>8.45667</v>
      </c>
      <c r="G42" s="22" t="n">
        <f aca="false">STDEV(원본_CLI_OFF!P20:P22)</f>
        <v>0.204365332676557</v>
      </c>
      <c r="H42" s="23" t="n">
        <f aca="false">AVERAGE(원본_CLI_ON!P20:P22)</f>
        <v>7.92106333333333</v>
      </c>
      <c r="I42" s="22" t="n">
        <f aca="false">STDEV(원본_CLI_ON!P20:P22)</f>
        <v>0.271395833485581</v>
      </c>
      <c r="J42" s="22" t="n">
        <f aca="false">H42-F42</f>
        <v>-0.535606666666667</v>
      </c>
      <c r="K42" s="24" t="n">
        <f aca="false">IF(F42=0,"",J42/F42)</f>
        <v>-0.0633354105891169</v>
      </c>
      <c r="L42" s="18" t="str">
        <f aca="false">IF(ABS(J42)&gt;(G42+I42),"노이즈 초과","노이즈 수준")</f>
        <v>노이즈 초과</v>
      </c>
    </row>
    <row r="44" customFormat="false" ht="17.15" hidden="false" customHeight="false" outlineLevel="0" collapsed="false">
      <c r="A44" s="32" t="s">
        <v>99</v>
      </c>
    </row>
    <row r="45" customFormat="false" ht="15" hidden="false" customHeight="false" outlineLevel="0" collapsed="false">
      <c r="A45" s="33" t="s">
        <v>79</v>
      </c>
      <c r="B45" s="33" t="s">
        <v>100</v>
      </c>
      <c r="C45" s="33" t="s">
        <v>101</v>
      </c>
      <c r="D45" s="33" t="s">
        <v>102</v>
      </c>
      <c r="E45" s="34" t="s">
        <v>103</v>
      </c>
    </row>
    <row r="46" customFormat="false" ht="15" hidden="false" customHeight="false" outlineLevel="0" collapsed="false">
      <c r="A46" s="35" t="s">
        <v>104</v>
      </c>
      <c r="B46" s="36" t="n">
        <f aca="false">AVERAGEIF($B$5:$B$42,$A46,$K$5:$K$42)</f>
        <v>0.0859903056547176</v>
      </c>
      <c r="C46" s="36" t="n">
        <f aca="false">_xlfn.MINIFS($K$5:$K$42,$B$5:$B$42,$A46)</f>
        <v>0.011245485740724</v>
      </c>
      <c r="D46" s="36" t="n">
        <f aca="false">_xlfn.MAXIFS($K$5:$K$42,$B$5:$B$42,$A46)</f>
        <v>0.145670031735252</v>
      </c>
      <c r="E46" s="35" t="str">
        <f aca="false">COUNTIFS($B$5:$B$42,$A46,$L$5:$L$42,"노이즈 초과")&amp;" / "&amp;COUNTIF($B$5:$B$42,$A46)</f>
        <v>11 / 12</v>
      </c>
    </row>
    <row r="47" customFormat="false" ht="15" hidden="false" customHeight="false" outlineLevel="0" collapsed="false">
      <c r="A47" s="37" t="s">
        <v>12</v>
      </c>
      <c r="B47" s="36" t="n">
        <f aca="false">AVERAGEIF($B$5:$B$42,$A47,$K$5:$K$42)</f>
        <v>-0.063747518864399</v>
      </c>
      <c r="C47" s="36" t="n">
        <f aca="false">_xlfn.MINIFS($K$5:$K$42,$B$5:$B$42,$A47)</f>
        <v>-0.105547897928641</v>
      </c>
      <c r="D47" s="36" t="n">
        <f aca="false">_xlfn.MAXIFS($K$5:$K$42,$B$5:$B$42,$A47)</f>
        <v>-0.0170806131362003</v>
      </c>
      <c r="E47" s="37" t="str">
        <f aca="false">COUNTIFS($B$5:$B$42,$A47,$L$5:$L$42,"노이즈 초과")&amp;" / "&amp;COUNTIF($B$5:$B$42,$A47)</f>
        <v>10 / 12</v>
      </c>
    </row>
    <row r="48" customFormat="false" ht="15" hidden="false" customHeight="false" outlineLevel="0" collapsed="false">
      <c r="A48" s="37" t="s">
        <v>92</v>
      </c>
      <c r="B48" s="36" t="n">
        <f aca="false">AVERAGEIF($B$5:$B$42,$A48,$K$5:$K$42)</f>
        <v>-0.0479177169012936</v>
      </c>
      <c r="C48" s="36" t="n">
        <f aca="false">_xlfn.MINIFS($K$5:$K$42,$B$5:$B$42,$A48)</f>
        <v>-0.070266161845372</v>
      </c>
      <c r="D48" s="36" t="n">
        <f aca="false">_xlfn.MAXIFS($K$5:$K$42,$B$5:$B$42,$A48)</f>
        <v>-0.00964631067249154</v>
      </c>
      <c r="E48" s="37" t="str">
        <f aca="false">COUNTIFS($B$5:$B$42,$A48,$L$5:$L$42,"노이즈 초과")&amp;" / "&amp;COUNTIF($B$5:$B$42,$A48)</f>
        <v>3 / 7</v>
      </c>
    </row>
    <row r="49" customFormat="false" ht="15" hidden="false" customHeight="false" outlineLevel="0" collapsed="false">
      <c r="A49" s="37" t="s">
        <v>94</v>
      </c>
      <c r="B49" s="36" t="n">
        <f aca="false">AVERAGEIF($B$5:$B$42,$A49,$K$5:$K$42)</f>
        <v>0.0915788765072547</v>
      </c>
      <c r="C49" s="36" t="n">
        <f aca="false">_xlfn.MINIFS($K$5:$K$42,$B$5:$B$42,$A49)</f>
        <v>-0.0633354105891169</v>
      </c>
      <c r="D49" s="36" t="n">
        <f aca="false">_xlfn.MAXIFS($K$5:$K$42,$B$5:$B$42,$A49)</f>
        <v>0.166559903148838</v>
      </c>
      <c r="E49" s="37" t="str">
        <f aca="false">COUNTIFS($B$5:$B$42,$A49,$L$5:$L$42,"노이즈 초과")&amp;" / "&amp;COUNTIF($B$5:$B$42,$A49)</f>
        <v>7 / 7</v>
      </c>
    </row>
    <row r="51" customFormat="false" ht="14.15" hidden="false" customHeight="false" outlineLevel="0" collapsed="false">
      <c r="A51" s="38" t="s">
        <v>105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</row>
  </sheetData>
  <mergeCells count="1">
    <mergeCell ref="A51:L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5"/>
  </cols>
  <sheetData>
    <row r="1" customFormat="false" ht="19.4" hidden="false" customHeight="false" outlineLevel="0" collapsed="false">
      <c r="A1" s="39" t="s">
        <v>106</v>
      </c>
    </row>
    <row r="2" customFormat="false" ht="15" hidden="false" customHeight="false" outlineLevel="0" collapsed="false">
      <c r="A2" s="33" t="s">
        <v>107</v>
      </c>
      <c r="B2" s="34" t="s">
        <v>108</v>
      </c>
      <c r="C2" s="34" t="s">
        <v>109</v>
      </c>
      <c r="D2" s="33" t="s">
        <v>88</v>
      </c>
    </row>
    <row r="3" customFormat="false" ht="15" hidden="false" customHeight="false" outlineLevel="0" collapsed="false">
      <c r="A3" s="11" t="s">
        <v>110</v>
      </c>
      <c r="B3" s="40" t="n">
        <f aca="false">조건별_비교!F5</f>
        <v>17.8358</v>
      </c>
      <c r="C3" s="40" t="n">
        <f aca="false">조건별_비교!H5</f>
        <v>19.1698666666667</v>
      </c>
      <c r="D3" s="36" t="n">
        <f aca="false">조건별_비교!K5</f>
        <v>0.0747971308641421</v>
      </c>
    </row>
    <row r="4" customFormat="false" ht="15" hidden="false" customHeight="false" outlineLevel="0" collapsed="false">
      <c r="A4" s="11" t="s">
        <v>111</v>
      </c>
      <c r="B4" s="40" t="n">
        <f aca="false">조건별_비교!F9</f>
        <v>22.8428</v>
      </c>
      <c r="C4" s="40" t="n">
        <f aca="false">조건별_비교!H9</f>
        <v>24.6978666666667</v>
      </c>
      <c r="D4" s="36" t="n">
        <f aca="false">조건별_비교!K9</f>
        <v>0.0812101260207446</v>
      </c>
    </row>
    <row r="5" customFormat="false" ht="15" hidden="false" customHeight="false" outlineLevel="0" collapsed="false">
      <c r="A5" s="11" t="s">
        <v>112</v>
      </c>
      <c r="B5" s="40" t="n">
        <f aca="false">조건별_비교!F13</f>
        <v>17.8179333333333</v>
      </c>
      <c r="C5" s="40" t="n">
        <f aca="false">조건별_비교!H13</f>
        <v>19.6701666666667</v>
      </c>
      <c r="D5" s="36" t="n">
        <f aca="false">조건별_비교!K13</f>
        <v>0.103953320437462</v>
      </c>
    </row>
    <row r="6" customFormat="false" ht="15" hidden="false" customHeight="false" outlineLevel="0" collapsed="false">
      <c r="A6" s="11" t="s">
        <v>113</v>
      </c>
      <c r="B6" s="40" t="n">
        <f aca="false">조건별_비교!F17</f>
        <v>25.1568</v>
      </c>
      <c r="C6" s="40" t="n">
        <f aca="false">조건별_비교!H17</f>
        <v>26.8767666666667</v>
      </c>
      <c r="D6" s="36" t="n">
        <f aca="false">조건별_비교!K17</f>
        <v>0.0683698509614366</v>
      </c>
    </row>
    <row r="7" customFormat="false" ht="15" hidden="false" customHeight="false" outlineLevel="0" collapsed="false">
      <c r="A7" s="11" t="s">
        <v>114</v>
      </c>
      <c r="B7" s="40" t="n">
        <f aca="false">조건별_비교!F18</f>
        <v>25.1607333333333</v>
      </c>
      <c r="C7" s="40" t="n">
        <f aca="false">조건별_비교!H18</f>
        <v>28.0306</v>
      </c>
      <c r="D7" s="36" t="n">
        <f aca="false">조건별_비교!K18</f>
        <v>0.114061328366158</v>
      </c>
    </row>
    <row r="8" customFormat="false" ht="15" hidden="false" customHeight="false" outlineLevel="0" collapsed="false">
      <c r="A8" s="11" t="s">
        <v>115</v>
      </c>
      <c r="B8" s="40" t="n">
        <f aca="false">조건별_비교!F23</f>
        <v>20.7239333333333</v>
      </c>
      <c r="C8" s="40" t="n">
        <f aca="false">조건별_비교!H23</f>
        <v>23.5648333333333</v>
      </c>
      <c r="D8" s="36" t="n">
        <f aca="false">조건별_비교!K23</f>
        <v>0.137083050514864</v>
      </c>
    </row>
    <row r="9" customFormat="false" ht="15" hidden="false" customHeight="false" outlineLevel="0" collapsed="false">
      <c r="A9" s="11" t="s">
        <v>116</v>
      </c>
      <c r="B9" s="40" t="n">
        <f aca="false">조건별_비교!F24</f>
        <v>20.745</v>
      </c>
      <c r="C9" s="40" t="n">
        <f aca="false">조건별_비교!H24</f>
        <v>23.6841</v>
      </c>
      <c r="D9" s="36" t="n">
        <f aca="false">조건별_비교!K24</f>
        <v>0.141677512653651</v>
      </c>
    </row>
    <row r="10" customFormat="false" ht="15" hidden="false" customHeight="false" outlineLevel="0" collapsed="false">
      <c r="A10" s="11" t="s">
        <v>117</v>
      </c>
      <c r="B10" s="40" t="n">
        <f aca="false">조건별_비교!F29</f>
        <v>25.5236666666667</v>
      </c>
      <c r="C10" s="40" t="n">
        <f aca="false">조건별_비교!H29</f>
        <v>29.2417</v>
      </c>
      <c r="D10" s="36" t="n">
        <f aca="false">조건별_비교!K29</f>
        <v>0.145670031735252</v>
      </c>
    </row>
    <row r="11" customFormat="false" ht="15" hidden="false" customHeight="false" outlineLevel="0" collapsed="false">
      <c r="A11" s="11" t="s">
        <v>118</v>
      </c>
      <c r="B11" s="40" t="n">
        <f aca="false">조건별_비교!F30</f>
        <v>25.5649666666667</v>
      </c>
      <c r="C11" s="40" t="n">
        <f aca="false">조건별_비교!H30</f>
        <v>27.8121666666667</v>
      </c>
      <c r="D11" s="36" t="n">
        <f aca="false">조건별_비교!K30</f>
        <v>0.0879015423450581</v>
      </c>
    </row>
    <row r="12" customFormat="false" ht="15" hidden="false" customHeight="false" outlineLevel="0" collapsed="false">
      <c r="A12" s="11" t="s">
        <v>119</v>
      </c>
      <c r="B12" s="40" t="n">
        <f aca="false">조건별_비교!F35</f>
        <v>25.9363333333333</v>
      </c>
      <c r="C12" s="40" t="n">
        <f aca="false">조건별_비교!H35</f>
        <v>26.228</v>
      </c>
      <c r="D12" s="36" t="n">
        <f aca="false">조건별_비교!K35</f>
        <v>0.011245485740724</v>
      </c>
    </row>
    <row r="13" customFormat="false" ht="15" hidden="false" customHeight="false" outlineLevel="0" collapsed="false">
      <c r="A13" s="11" t="s">
        <v>120</v>
      </c>
      <c r="B13" s="40" t="n">
        <f aca="false">조건별_비교!F36</f>
        <v>25.8181666666667</v>
      </c>
      <c r="C13" s="40" t="n">
        <f aca="false">조건별_비교!H36</f>
        <v>26.6891333333333</v>
      </c>
      <c r="D13" s="36" t="n">
        <f aca="false">조건별_비교!K36</f>
        <v>0.033734644210472</v>
      </c>
    </row>
    <row r="14" customFormat="false" ht="15" hidden="false" customHeight="false" outlineLevel="0" collapsed="false">
      <c r="A14" s="11" t="s">
        <v>121</v>
      </c>
      <c r="B14" s="40" t="n">
        <f aca="false">조건별_비교!F37</f>
        <v>25.8600333333333</v>
      </c>
      <c r="C14" s="40" t="n">
        <f aca="false">조건별_비교!H37</f>
        <v>26.6922</v>
      </c>
      <c r="D14" s="36" t="n">
        <f aca="false">조건별_비교!K37</f>
        <v>0.032179644006646</v>
      </c>
    </row>
    <row r="17" customFormat="false" ht="19.4" hidden="false" customHeight="false" outlineLevel="0" collapsed="false">
      <c r="A17" s="39" t="s">
        <v>122</v>
      </c>
    </row>
    <row r="18" customFormat="false" ht="15" hidden="false" customHeight="false" outlineLevel="0" collapsed="false">
      <c r="A18" s="33" t="s">
        <v>107</v>
      </c>
      <c r="B18" s="34" t="s">
        <v>108</v>
      </c>
      <c r="C18" s="34" t="s">
        <v>109</v>
      </c>
      <c r="D18" s="33" t="s">
        <v>88</v>
      </c>
    </row>
    <row r="19" customFormat="false" ht="15" hidden="false" customHeight="false" outlineLevel="0" collapsed="false">
      <c r="A19" s="11" t="s">
        <v>110</v>
      </c>
      <c r="B19" s="40" t="n">
        <f aca="false">조건별_비교!F6</f>
        <v>42.3454</v>
      </c>
      <c r="C19" s="40" t="n">
        <f aca="false">조건별_비교!H6</f>
        <v>39.9159666666667</v>
      </c>
      <c r="D19" s="36" t="n">
        <f aca="false">조건별_비교!K6</f>
        <v>-0.0573718357444571</v>
      </c>
    </row>
    <row r="20" customFormat="false" ht="15" hidden="false" customHeight="false" outlineLevel="0" collapsed="false">
      <c r="A20" s="11" t="s">
        <v>111</v>
      </c>
      <c r="B20" s="40" t="n">
        <f aca="false">조건별_비교!F10</f>
        <v>34.6877</v>
      </c>
      <c r="C20" s="40" t="n">
        <f aca="false">조건별_비교!H10</f>
        <v>32.6560666666667</v>
      </c>
      <c r="D20" s="36" t="n">
        <f aca="false">조건별_비교!K10</f>
        <v>-0.0585692719129066</v>
      </c>
    </row>
    <row r="21" customFormat="false" ht="15" hidden="false" customHeight="false" outlineLevel="0" collapsed="false">
      <c r="A21" s="11" t="s">
        <v>112</v>
      </c>
      <c r="B21" s="40" t="n">
        <f aca="false">조건별_비교!F14</f>
        <v>42.3741666666667</v>
      </c>
      <c r="C21" s="40" t="n">
        <f aca="false">조건별_비교!H14</f>
        <v>39.1117</v>
      </c>
      <c r="D21" s="36" t="n">
        <f aca="false">조건별_비교!K14</f>
        <v>-0.0769918779130365</v>
      </c>
    </row>
    <row r="22" customFormat="false" ht="15" hidden="false" customHeight="false" outlineLevel="0" collapsed="false">
      <c r="A22" s="11" t="s">
        <v>113</v>
      </c>
      <c r="B22" s="40" t="n">
        <f aca="false">조건별_비교!F19</f>
        <v>32.0327</v>
      </c>
      <c r="C22" s="40" t="n">
        <f aca="false">조건별_비교!H19</f>
        <v>30.2846</v>
      </c>
      <c r="D22" s="36" t="n">
        <f aca="false">조건별_비교!K19</f>
        <v>-0.0545723588707788</v>
      </c>
    </row>
    <row r="23" customFormat="false" ht="15" hidden="false" customHeight="false" outlineLevel="0" collapsed="false">
      <c r="A23" s="11" t="s">
        <v>114</v>
      </c>
      <c r="B23" s="40" t="n">
        <f aca="false">조건별_비교!F20</f>
        <v>31.9858666666667</v>
      </c>
      <c r="C23" s="40" t="n">
        <f aca="false">조건별_비교!H20</f>
        <v>29.2424666666667</v>
      </c>
      <c r="D23" s="36" t="n">
        <f aca="false">조건별_비교!K20</f>
        <v>-0.0857691313663534</v>
      </c>
    </row>
    <row r="24" customFormat="false" ht="15" hidden="false" customHeight="false" outlineLevel="0" collapsed="false">
      <c r="A24" s="11" t="s">
        <v>115</v>
      </c>
      <c r="B24" s="40" t="n">
        <f aca="false">조건별_비교!F25</f>
        <v>38.236</v>
      </c>
      <c r="C24" s="40" t="n">
        <f aca="false">조건별_비교!H25</f>
        <v>34.5234666666667</v>
      </c>
      <c r="D24" s="36" t="n">
        <f aca="false">조건별_비교!K25</f>
        <v>-0.0970952331136449</v>
      </c>
    </row>
    <row r="25" customFormat="false" ht="15" hidden="false" customHeight="false" outlineLevel="0" collapsed="false">
      <c r="A25" s="11" t="s">
        <v>116</v>
      </c>
      <c r="B25" s="40" t="n">
        <f aca="false">조건별_비교!F26</f>
        <v>38.2378</v>
      </c>
      <c r="C25" s="40" t="n">
        <f aca="false">조건별_비교!H26</f>
        <v>34.3902</v>
      </c>
      <c r="D25" s="36" t="n">
        <f aca="false">조건별_비교!K26</f>
        <v>-0.100622943788607</v>
      </c>
    </row>
    <row r="26" customFormat="false" ht="15" hidden="false" customHeight="false" outlineLevel="0" collapsed="false">
      <c r="A26" s="11" t="s">
        <v>117</v>
      </c>
      <c r="B26" s="40" t="n">
        <f aca="false">조건별_비교!F31</f>
        <v>31.5831333333333</v>
      </c>
      <c r="C26" s="40" t="n">
        <f aca="false">조건별_비교!H31</f>
        <v>28.2496</v>
      </c>
      <c r="D26" s="36" t="n">
        <f aca="false">조건별_비교!K31</f>
        <v>-0.105547897928641</v>
      </c>
    </row>
    <row r="27" customFormat="false" ht="15" hidden="false" customHeight="false" outlineLevel="0" collapsed="false">
      <c r="A27" s="11" t="s">
        <v>118</v>
      </c>
      <c r="B27" s="40" t="n">
        <f aca="false">조건별_비교!F32</f>
        <v>31.645</v>
      </c>
      <c r="C27" s="40" t="n">
        <f aca="false">조건별_비교!H32</f>
        <v>29.4841666666667</v>
      </c>
      <c r="D27" s="36" t="n">
        <f aca="false">조건별_비교!K32</f>
        <v>-0.0682835624374572</v>
      </c>
    </row>
    <row r="28" customFormat="false" ht="15" hidden="false" customHeight="false" outlineLevel="0" collapsed="false">
      <c r="A28" s="11" t="s">
        <v>119</v>
      </c>
      <c r="B28" s="40" t="n">
        <f aca="false">조건별_비교!F38</f>
        <v>31.7123666666667</v>
      </c>
      <c r="C28" s="40" t="n">
        <f aca="false">조건별_비교!H38</f>
        <v>31.1707</v>
      </c>
      <c r="D28" s="36" t="n">
        <f aca="false">조건별_비교!K38</f>
        <v>-0.0170806131362003</v>
      </c>
    </row>
    <row r="29" customFormat="false" ht="15" hidden="false" customHeight="false" outlineLevel="0" collapsed="false">
      <c r="A29" s="11" t="s">
        <v>120</v>
      </c>
      <c r="B29" s="40" t="n">
        <f aca="false">조건별_비교!F39</f>
        <v>31.7022666666667</v>
      </c>
      <c r="C29" s="40" t="n">
        <f aca="false">조건별_비교!H39</f>
        <v>31.0071333333333</v>
      </c>
      <c r="D29" s="36" t="n">
        <f aca="false">조건별_비교!K39</f>
        <v>-0.02192692846358</v>
      </c>
    </row>
    <row r="30" customFormat="false" ht="15" hidden="false" customHeight="false" outlineLevel="0" collapsed="false">
      <c r="A30" s="11" t="s">
        <v>121</v>
      </c>
      <c r="B30" s="40" t="n">
        <f aca="false">조건별_비교!F40</f>
        <v>31.7397666666667</v>
      </c>
      <c r="C30" s="40" t="n">
        <f aca="false">조건별_비교!H40</f>
        <v>31.0688333333333</v>
      </c>
      <c r="D30" s="36" t="n">
        <f aca="false">조건별_비교!K40</f>
        <v>-0.0211385716971245</v>
      </c>
    </row>
    <row r="33" customFormat="false" ht="19.4" hidden="false" customHeight="false" outlineLevel="0" collapsed="false">
      <c r="A33" s="41" t="s">
        <v>123</v>
      </c>
    </row>
    <row r="34" customFormat="false" ht="15" hidden="false" customHeight="false" outlineLevel="0" collapsed="false">
      <c r="A34" s="33" t="s">
        <v>107</v>
      </c>
      <c r="B34" s="34" t="s">
        <v>108</v>
      </c>
      <c r="C34" s="34" t="s">
        <v>109</v>
      </c>
      <c r="D34" s="33" t="s">
        <v>88</v>
      </c>
    </row>
    <row r="35" customFormat="false" ht="15" hidden="false" customHeight="false" outlineLevel="0" collapsed="false">
      <c r="A35" s="11" t="s">
        <v>56</v>
      </c>
      <c r="B35" s="40" t="n">
        <f aca="false">조건별_비교!F7</f>
        <v>12.7268</v>
      </c>
      <c r="C35" s="40" t="n">
        <f aca="false">조건별_비교!H7</f>
        <v>12.6040333333333</v>
      </c>
      <c r="D35" s="36" t="n">
        <f aca="false">조건별_비교!K7</f>
        <v>-0.00964631067249154</v>
      </c>
    </row>
    <row r="36" customFormat="false" ht="15" hidden="false" customHeight="false" outlineLevel="0" collapsed="false">
      <c r="A36" s="11" t="s">
        <v>57</v>
      </c>
      <c r="B36" s="40" t="n">
        <f aca="false">조건별_비교!F11</f>
        <v>10.9258</v>
      </c>
      <c r="C36" s="40" t="n">
        <f aca="false">조건별_비교!H11</f>
        <v>10.4907666666667</v>
      </c>
      <c r="D36" s="36" t="n">
        <f aca="false">조건별_비교!K11</f>
        <v>-0.0398170690780843</v>
      </c>
    </row>
    <row r="37" customFormat="false" ht="15" hidden="false" customHeight="false" outlineLevel="0" collapsed="false">
      <c r="A37" s="11" t="s">
        <v>58</v>
      </c>
      <c r="B37" s="40" t="n">
        <f aca="false">조건별_비교!F15</f>
        <v>12.7258666666667</v>
      </c>
      <c r="C37" s="40" t="n">
        <f aca="false">조건별_비교!H15</f>
        <v>12.3272</v>
      </c>
      <c r="D37" s="36" t="n">
        <f aca="false">조건별_비교!K15</f>
        <v>-0.0313272704413059</v>
      </c>
    </row>
    <row r="38" customFormat="false" ht="15" hidden="false" customHeight="false" outlineLevel="0" collapsed="false">
      <c r="A38" s="11" t="s">
        <v>59</v>
      </c>
      <c r="B38" s="40" t="n">
        <f aca="false">조건별_비교!F21</f>
        <v>19.1542333333333</v>
      </c>
      <c r="C38" s="40" t="n">
        <f aca="false">조건별_비교!H21</f>
        <v>18.0408</v>
      </c>
      <c r="D38" s="36" t="n">
        <f aca="false">조건별_비교!K21</f>
        <v>-0.0581298825150924</v>
      </c>
    </row>
    <row r="39" customFormat="false" ht="15" hidden="false" customHeight="false" outlineLevel="0" collapsed="false">
      <c r="A39" s="11" t="s">
        <v>60</v>
      </c>
      <c r="B39" s="40" t="n">
        <f aca="false">조건별_비교!F27</f>
        <v>21.2264333333333</v>
      </c>
      <c r="C39" s="40" t="n">
        <f aca="false">조건별_비교!H27</f>
        <v>19.7349333333333</v>
      </c>
      <c r="D39" s="36" t="n">
        <f aca="false">조건별_비교!K27</f>
        <v>-0.070266161845372</v>
      </c>
    </row>
    <row r="40" customFormat="false" ht="15" hidden="false" customHeight="false" outlineLevel="0" collapsed="false">
      <c r="A40" s="11" t="s">
        <v>61</v>
      </c>
      <c r="B40" s="40" t="n">
        <f aca="false">조건별_비교!F33</f>
        <v>19.0487666666667</v>
      </c>
      <c r="C40" s="40" t="n">
        <f aca="false">조건별_비교!H33</f>
        <v>17.7205</v>
      </c>
      <c r="D40" s="36" t="n">
        <f aca="false">조건별_비교!K33</f>
        <v>-0.0697297987796234</v>
      </c>
    </row>
    <row r="41" customFormat="false" ht="15" hidden="false" customHeight="false" outlineLevel="0" collapsed="false">
      <c r="A41" s="11" t="s">
        <v>62</v>
      </c>
      <c r="B41" s="40" t="n">
        <f aca="false">조건별_비교!F41</f>
        <v>26.9480333333333</v>
      </c>
      <c r="C41" s="40" t="n">
        <f aca="false">조건별_비교!H41</f>
        <v>25.4252666666667</v>
      </c>
      <c r="D41" s="36" t="n">
        <f aca="false">조건별_비교!K41</f>
        <v>-0.0565075249770854</v>
      </c>
    </row>
    <row r="44" customFormat="false" ht="19.4" hidden="false" customHeight="false" outlineLevel="0" collapsed="false">
      <c r="A44" s="41" t="s">
        <v>124</v>
      </c>
    </row>
    <row r="45" customFormat="false" ht="15" hidden="false" customHeight="false" outlineLevel="0" collapsed="false">
      <c r="A45" s="33" t="s">
        <v>107</v>
      </c>
      <c r="B45" s="34" t="s">
        <v>108</v>
      </c>
      <c r="C45" s="34" t="s">
        <v>109</v>
      </c>
      <c r="D45" s="33" t="s">
        <v>88</v>
      </c>
    </row>
    <row r="46" customFormat="false" ht="15" hidden="false" customHeight="false" outlineLevel="0" collapsed="false">
      <c r="A46" s="11" t="s">
        <v>56</v>
      </c>
      <c r="B46" s="40" t="n">
        <f aca="false">조건별_비교!F8</f>
        <v>6.80632</v>
      </c>
      <c r="C46" s="40" t="n">
        <f aca="false">조건별_비교!H8</f>
        <v>7.93998</v>
      </c>
      <c r="D46" s="36" t="n">
        <f aca="false">조건별_비교!K8</f>
        <v>0.166559903148838</v>
      </c>
    </row>
    <row r="47" customFormat="false" ht="15" hidden="false" customHeight="false" outlineLevel="0" collapsed="false">
      <c r="A47" s="11" t="s">
        <v>57</v>
      </c>
      <c r="B47" s="40" t="n">
        <f aca="false">조건별_비교!F12</f>
        <v>6.95555333333333</v>
      </c>
      <c r="C47" s="40" t="n">
        <f aca="false">조건별_비교!H12</f>
        <v>8.10224666666667</v>
      </c>
      <c r="D47" s="36" t="n">
        <f aca="false">조건별_비교!K12</f>
        <v>0.164860116568727</v>
      </c>
    </row>
    <row r="48" customFormat="false" ht="15" hidden="false" customHeight="false" outlineLevel="0" collapsed="false">
      <c r="A48" s="11" t="s">
        <v>58</v>
      </c>
      <c r="B48" s="40" t="n">
        <f aca="false">조건별_비교!F16</f>
        <v>6.97832</v>
      </c>
      <c r="C48" s="40" t="n">
        <f aca="false">조건별_비교!H16</f>
        <v>7.94180333333333</v>
      </c>
      <c r="D48" s="36" t="n">
        <f aca="false">조건별_비교!K16</f>
        <v>0.138068092797884</v>
      </c>
    </row>
    <row r="49" customFormat="false" ht="15" hidden="false" customHeight="false" outlineLevel="0" collapsed="false">
      <c r="A49" s="11" t="s">
        <v>59</v>
      </c>
      <c r="B49" s="40" t="n">
        <f aca="false">조건별_비교!F22</f>
        <v>7.863</v>
      </c>
      <c r="C49" s="40" t="n">
        <f aca="false">조건별_비교!H22</f>
        <v>8.48978333333333</v>
      </c>
      <c r="D49" s="36" t="n">
        <f aca="false">조건별_비교!K22</f>
        <v>0.0797130018228836</v>
      </c>
    </row>
    <row r="50" customFormat="false" ht="15" hidden="false" customHeight="false" outlineLevel="0" collapsed="false">
      <c r="A50" s="11" t="s">
        <v>60</v>
      </c>
      <c r="B50" s="40" t="n">
        <f aca="false">조건별_비교!F28</f>
        <v>7.81261</v>
      </c>
      <c r="C50" s="40" t="n">
        <f aca="false">조건별_비교!H28</f>
        <v>8.55243666666667</v>
      </c>
      <c r="D50" s="36" t="n">
        <f aca="false">조건별_비교!K28</f>
        <v>0.094696480006895</v>
      </c>
    </row>
    <row r="51" customFormat="false" ht="15" hidden="false" customHeight="false" outlineLevel="0" collapsed="false">
      <c r="A51" s="11" t="s">
        <v>61</v>
      </c>
      <c r="B51" s="40" t="n">
        <f aca="false">조건별_비교!F34</f>
        <v>8.1872</v>
      </c>
      <c r="C51" s="40" t="n">
        <f aca="false">조건별_비교!H34</f>
        <v>8.68244333333333</v>
      </c>
      <c r="D51" s="36" t="n">
        <f aca="false">조건별_비교!K34</f>
        <v>0.0604899517946715</v>
      </c>
    </row>
    <row r="52" customFormat="false" ht="15" hidden="false" customHeight="false" outlineLevel="0" collapsed="false">
      <c r="A52" s="11" t="s">
        <v>62</v>
      </c>
      <c r="B52" s="40" t="n">
        <f aca="false">조건별_비교!F42</f>
        <v>8.45667</v>
      </c>
      <c r="C52" s="40" t="n">
        <f aca="false">조건별_비교!H42</f>
        <v>7.92106333333333</v>
      </c>
      <c r="D52" s="36" t="n">
        <f aca="false">조건별_비교!K42</f>
        <v>-0.0633354105891169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3.1" hidden="false" customHeight="false" outlineLevel="0" collapsed="false">
      <c r="A1" s="42" t="s">
        <v>125</v>
      </c>
    </row>
    <row r="2" customFormat="false" ht="14.15" hidden="false" customHeight="false" outlineLevel="0" collapsed="false">
      <c r="A2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14" min="4" style="0" width="16"/>
  </cols>
  <sheetData>
    <row r="1" customFormat="false" ht="20.1" hidden="false" customHeight="false" outlineLevel="0" collapsed="false">
      <c r="A1" s="43" t="s">
        <v>127</v>
      </c>
    </row>
    <row r="2" customFormat="false" ht="15" hidden="false" customHeight="false" outlineLevel="0" collapsed="false">
      <c r="A2" s="44" t="s">
        <v>128</v>
      </c>
    </row>
    <row r="4" customFormat="false" ht="31.5" hidden="false" customHeight="true" outlineLevel="0" collapsed="false">
      <c r="A4" s="45" t="s">
        <v>78</v>
      </c>
      <c r="B4" s="10" t="s">
        <v>63</v>
      </c>
      <c r="C4" s="10" t="s">
        <v>64</v>
      </c>
      <c r="D4" s="10" t="s">
        <v>65</v>
      </c>
      <c r="E4" s="10" t="s">
        <v>66</v>
      </c>
      <c r="F4" s="10" t="s">
        <v>67</v>
      </c>
      <c r="G4" s="10" t="s">
        <v>68</v>
      </c>
      <c r="H4" s="10" t="s">
        <v>69</v>
      </c>
      <c r="I4" s="10" t="s">
        <v>70</v>
      </c>
      <c r="J4" s="10" t="s">
        <v>71</v>
      </c>
      <c r="K4" s="10" t="s">
        <v>72</v>
      </c>
      <c r="L4" s="10" t="s">
        <v>73</v>
      </c>
      <c r="M4" s="10" t="s">
        <v>74</v>
      </c>
      <c r="N4" s="10" t="s">
        <v>75</v>
      </c>
    </row>
    <row r="5" customFormat="false" ht="15" hidden="false" customHeight="false" outlineLevel="0" collapsed="false">
      <c r="A5" s="11" t="s">
        <v>56</v>
      </c>
      <c r="B5" s="40" t="n">
        <f aca="false">IF(COUNT(원본_CLI_ON!Q2:Q4)=0,"",AVERAGE(원본_CLI_ON!Q2:Q4))</f>
        <v>23.2562666666667</v>
      </c>
      <c r="C5" s="40" t="n">
        <f aca="false">IF(COUNT(원본_CLI_ON!R2:R4)=0,"",AVERAGE(원본_CLI_ON!R2:R4))</f>
        <v>16.8611333333333</v>
      </c>
      <c r="D5" s="40" t="n">
        <f aca="false">IF(COUNT(원본_CLI_ON!S2:S4)=0,"",AVERAGE(원본_CLI_ON!S2:S4))</f>
        <v>674.333333333333</v>
      </c>
      <c r="E5" s="40" t="n">
        <f aca="false">IF(COUNT(원본_CLI_ON!T2:T4)=0,"",AVERAGE(원본_CLI_ON!T2:T4))</f>
        <v>215.333333333333</v>
      </c>
      <c r="F5" s="40" t="n">
        <f aca="false">IF(COUNT(원본_CLI_ON!U2:U4)=0,"",AVERAGE(원본_CLI_ON!U2:U4))</f>
        <v>45.936</v>
      </c>
      <c r="G5" s="40" t="str">
        <f aca="false">IF(COUNT(원본_CLI_ON!V2:V4)=0,"",AVERAGE(원본_CLI_ON!V2:V4))</f>
        <v/>
      </c>
      <c r="H5" s="40" t="str">
        <f aca="false">IF(COUNT(원본_CLI_ON!W2:W4)=0,"",AVERAGE(원본_CLI_ON!W2:W4))</f>
        <v/>
      </c>
      <c r="I5" s="40" t="n">
        <f aca="false">IF(COUNT(원본_CLI_ON!X2:X4)=0,"",AVERAGE(원본_CLI_ON!X2:X4))</f>
        <v>5.80725666666667</v>
      </c>
      <c r="J5" s="40" t="str">
        <f aca="false">IF(COUNT(원본_CLI_ON!Y2:Y4)=0,"",AVERAGE(원본_CLI_ON!Y2:Y4))</f>
        <v/>
      </c>
      <c r="K5" s="40" t="str">
        <f aca="false">IF(COUNT(원본_CLI_ON!Z2:Z4)=0,"",AVERAGE(원본_CLI_ON!Z2:Z4))</f>
        <v/>
      </c>
      <c r="L5" s="40" t="n">
        <f aca="false">IF(COUNT(원본_CLI_ON!AA2:AA4)=0,"",AVERAGE(원본_CLI_ON!AA2:AA4))</f>
        <v>24.9771333333333</v>
      </c>
      <c r="M5" s="40" t="str">
        <f aca="false">IF(COUNT(원본_CLI_ON!AB2:AB4)=0,"",AVERAGE(원본_CLI_ON!AB2:AB4))</f>
        <v/>
      </c>
      <c r="N5" s="40" t="str">
        <f aca="false">IF(COUNT(원본_CLI_ON!AC2:AC4)=0,"",AVERAGE(원본_CLI_ON!AC2:AC4))</f>
        <v/>
      </c>
    </row>
    <row r="6" customFormat="false" ht="15" hidden="false" customHeight="false" outlineLevel="0" collapsed="false">
      <c r="A6" s="11" t="s">
        <v>57</v>
      </c>
      <c r="B6" s="40" t="n">
        <f aca="false">IF(COUNT(원본_CLI_ON!Q5:Q7)=0,"",AVERAGE(원본_CLI_ON!Q5:Q7))</f>
        <v>22.9842</v>
      </c>
      <c r="C6" s="40" t="n">
        <f aca="false">IF(COUNT(원본_CLI_ON!R5:R7)=0,"",AVERAGE(원본_CLI_ON!R5:R7))</f>
        <v>20.6095666666667</v>
      </c>
      <c r="D6" s="40" t="n">
        <f aca="false">IF(COUNT(원본_CLI_ON!S5:S7)=0,"",AVERAGE(원본_CLI_ON!S5:S7))</f>
        <v>675</v>
      </c>
      <c r="E6" s="40" t="n">
        <f aca="false">IF(COUNT(원본_CLI_ON!T5:T7)=0,"",AVERAGE(원본_CLI_ON!T5:T7))</f>
        <v>224</v>
      </c>
      <c r="F6" s="40" t="str">
        <f aca="false">IF(COUNT(원본_CLI_ON!U5:U7)=0,"",AVERAGE(원본_CLI_ON!U5:U7))</f>
        <v/>
      </c>
      <c r="G6" s="40" t="n">
        <f aca="false">IF(COUNT(원본_CLI_ON!V5:V7)=0,"",AVERAGE(원본_CLI_ON!V5:V7))</f>
        <v>57.2243333333333</v>
      </c>
      <c r="H6" s="40" t="str">
        <f aca="false">IF(COUNT(원본_CLI_ON!W5:W7)=0,"",AVERAGE(원본_CLI_ON!W5:W7))</f>
        <v/>
      </c>
      <c r="I6" s="40" t="str">
        <f aca="false">IF(COUNT(원본_CLI_ON!X5:X7)=0,"",AVERAGE(원본_CLI_ON!X5:X7))</f>
        <v/>
      </c>
      <c r="J6" s="40" t="n">
        <f aca="false">IF(COUNT(원본_CLI_ON!Y5:Y7)=0,"",AVERAGE(원본_CLI_ON!Y5:Y7))</f>
        <v>5.84823666666667</v>
      </c>
      <c r="K6" s="40" t="str">
        <f aca="false">IF(COUNT(원본_CLI_ON!Z5:Z7)=0,"",AVERAGE(원본_CLI_ON!Z5:Z7))</f>
        <v/>
      </c>
      <c r="L6" s="40" t="str">
        <f aca="false">IF(COUNT(원본_CLI_ON!AA5:AA7)=0,"",AVERAGE(원본_CLI_ON!AA5:AA7))</f>
        <v/>
      </c>
      <c r="M6" s="40" t="n">
        <f aca="false">IF(COUNT(원본_CLI_ON!AB5:AB7)=0,"",AVERAGE(원본_CLI_ON!AB5:AB7))</f>
        <v>30.5461333333333</v>
      </c>
      <c r="N6" s="40" t="str">
        <f aca="false">IF(COUNT(원본_CLI_ON!AC5:AC7)=0,"",AVERAGE(원본_CLI_ON!AC5:AC7))</f>
        <v/>
      </c>
    </row>
    <row r="7" customFormat="false" ht="15" hidden="false" customHeight="false" outlineLevel="0" collapsed="false">
      <c r="A7" s="11" t="s">
        <v>58</v>
      </c>
      <c r="B7" s="40" t="n">
        <f aca="false">IF(COUNT(원본_CLI_ON!Q8:Q10)=0,"",AVERAGE(원본_CLI_ON!Q8:Q10))</f>
        <v>25.4979333333333</v>
      </c>
      <c r="C7" s="40" t="n">
        <f aca="false">IF(COUNT(원본_CLI_ON!R8:R10)=0,"",AVERAGE(원본_CLI_ON!R8:R10))</f>
        <v>17.2083333333333</v>
      </c>
      <c r="D7" s="40" t="n">
        <f aca="false">IF(COUNT(원본_CLI_ON!S8:S10)=0,"",AVERAGE(원본_CLI_ON!S8:S10))</f>
        <v>674</v>
      </c>
      <c r="E7" s="40" t="n">
        <f aca="false">IF(COUNT(원본_CLI_ON!T8:T10)=0,"",AVERAGE(원본_CLI_ON!T8:T10))</f>
        <v>167.333333333333</v>
      </c>
      <c r="F7" s="40" t="str">
        <f aca="false">IF(COUNT(원본_CLI_ON!U8:U10)=0,"",AVERAGE(원본_CLI_ON!U8:U10))</f>
        <v/>
      </c>
      <c r="G7" s="40" t="str">
        <f aca="false">IF(COUNT(원본_CLI_ON!V8:V10)=0,"",AVERAGE(원본_CLI_ON!V8:V10))</f>
        <v/>
      </c>
      <c r="H7" s="40" t="n">
        <f aca="false">IF(COUNT(원본_CLI_ON!W8:W10)=0,"",AVERAGE(원본_CLI_ON!W8:W10))</f>
        <v>60.1761</v>
      </c>
      <c r="I7" s="40" t="str">
        <f aca="false">IF(COUNT(원본_CLI_ON!X8:X10)=0,"",AVERAGE(원본_CLI_ON!X8:X10))</f>
        <v/>
      </c>
      <c r="J7" s="40" t="str">
        <f aca="false">IF(COUNT(원본_CLI_ON!Y8:Y10)=0,"",AVERAGE(원본_CLI_ON!Y8:Y10))</f>
        <v/>
      </c>
      <c r="K7" s="40" t="n">
        <f aca="false">IF(COUNT(원본_CLI_ON!Z8:Z10)=0,"",AVERAGE(원본_CLI_ON!Z8:Z10))</f>
        <v>5.82329333333333</v>
      </c>
      <c r="L7" s="40" t="str">
        <f aca="false">IF(COUNT(원본_CLI_ON!AA8:AA10)=0,"",AVERAGE(원본_CLI_ON!AA8:AA10))</f>
        <v/>
      </c>
      <c r="M7" s="40" t="str">
        <f aca="false">IF(COUNT(원본_CLI_ON!AB8:AB10)=0,"",AVERAGE(원본_CLI_ON!AB8:AB10))</f>
        <v/>
      </c>
      <c r="N7" s="40" t="n">
        <f aca="false">IF(COUNT(원본_CLI_ON!AC8:AC10)=0,"",AVERAGE(원본_CLI_ON!AC8:AC10))</f>
        <v>25.4934666666667</v>
      </c>
    </row>
    <row r="8" customFormat="false" ht="15" hidden="false" customHeight="false" outlineLevel="0" collapsed="false">
      <c r="A8" s="11" t="s">
        <v>59</v>
      </c>
      <c r="B8" s="40" t="n">
        <f aca="false">IF(COUNT(원본_CLI_ON!Q11:Q13)=0,"",AVERAGE(원본_CLI_ON!Q11:Q13))</f>
        <v>43.5873</v>
      </c>
      <c r="C8" s="40" t="n">
        <f aca="false">IF(COUNT(원본_CLI_ON!R11:R13)=0,"",AVERAGE(원본_CLI_ON!R11:R13))</f>
        <v>23.0152333333333</v>
      </c>
      <c r="D8" s="40" t="n">
        <f aca="false">IF(COUNT(원본_CLI_ON!S11:S13)=0,"",AVERAGE(원본_CLI_ON!S11:S13))</f>
        <v>1373.33333333333</v>
      </c>
      <c r="E8" s="40" t="n">
        <f aca="false">IF(COUNT(원본_CLI_ON!T11:T13)=0,"",AVERAGE(원본_CLI_ON!T11:T13))</f>
        <v>2824</v>
      </c>
      <c r="F8" s="40" t="n">
        <f aca="false">IF(COUNT(원본_CLI_ON!U11:U13)=0,"",AVERAGE(원본_CLI_ON!U11:U13))</f>
        <v>88.0055333333333</v>
      </c>
      <c r="G8" s="40" t="n">
        <f aca="false">IF(COUNT(원본_CLI_ON!V11:V13)=0,"",AVERAGE(원본_CLI_ON!V11:V13))</f>
        <v>74.4500666666667</v>
      </c>
      <c r="H8" s="40" t="str">
        <f aca="false">IF(COUNT(원본_CLI_ON!W11:W13)=0,"",AVERAGE(원본_CLI_ON!W11:W13))</f>
        <v/>
      </c>
      <c r="I8" s="40" t="n">
        <f aca="false">IF(COUNT(원본_CLI_ON!X11:X13)=0,"",AVERAGE(원본_CLI_ON!X11:X13))</f>
        <v>6.05028333333333</v>
      </c>
      <c r="J8" s="40" t="n">
        <f aca="false">IF(COUNT(원본_CLI_ON!Y11:Y13)=0,"",AVERAGE(원본_CLI_ON!Y11:Y13))</f>
        <v>6.08468333333333</v>
      </c>
      <c r="K8" s="40" t="str">
        <f aca="false">IF(COUNT(원본_CLI_ON!Z11:Z13)=0,"",AVERAGE(원본_CLI_ON!Z11:Z13))</f>
        <v/>
      </c>
      <c r="L8" s="40" t="n">
        <f aca="false">IF(COUNT(원본_CLI_ON!AA11:AA13)=0,"",AVERAGE(원본_CLI_ON!AA11:AA13))</f>
        <v>32.9270666666667</v>
      </c>
      <c r="M8" s="40" t="n">
        <f aca="false">IF(COUNT(원본_CLI_ON!AB11:AB13)=0,"",AVERAGE(원본_CLI_ON!AB11:AB13))</f>
        <v>34.1153</v>
      </c>
      <c r="N8" s="40" t="str">
        <f aca="false">IF(COUNT(원본_CLI_ON!AC11:AC13)=0,"",AVERAGE(원본_CLI_ON!AC11:AC13))</f>
        <v/>
      </c>
    </row>
    <row r="9" customFormat="false" ht="15" hidden="false" customHeight="false" outlineLevel="0" collapsed="false">
      <c r="A9" s="11" t="s">
        <v>60</v>
      </c>
      <c r="B9" s="40" t="n">
        <f aca="false">IF(COUNT(원본_CLI_ON!Q14:Q16)=0,"",AVERAGE(원본_CLI_ON!Q14:Q16))</f>
        <v>48.8518666666667</v>
      </c>
      <c r="C9" s="40" t="n">
        <f aca="false">IF(COUNT(원본_CLI_ON!R14:R16)=0,"",AVERAGE(원본_CLI_ON!R14:R16))</f>
        <v>19.5720666666667</v>
      </c>
      <c r="D9" s="40" t="n">
        <f aca="false">IF(COUNT(원본_CLI_ON!S14:S16)=0,"",AVERAGE(원본_CLI_ON!S14:S16))</f>
        <v>1368.33333333333</v>
      </c>
      <c r="E9" s="40" t="n">
        <f aca="false">IF(COUNT(원본_CLI_ON!T14:T16)=0,"",AVERAGE(원본_CLI_ON!T14:T16))</f>
        <v>1890</v>
      </c>
      <c r="F9" s="40" t="n">
        <f aca="false">IF(COUNT(원본_CLI_ON!U14:U16)=0,"",AVERAGE(원본_CLI_ON!U14:U16))</f>
        <v>76.9321333333333</v>
      </c>
      <c r="G9" s="40" t="str">
        <f aca="false">IF(COUNT(원본_CLI_ON!V14:V16)=0,"",AVERAGE(원본_CLI_ON!V14:V16))</f>
        <v/>
      </c>
      <c r="H9" s="40" t="n">
        <f aca="false">IF(COUNT(원본_CLI_ON!W14:W16)=0,"",AVERAGE(원본_CLI_ON!W14:W16))</f>
        <v>71.4511333333334</v>
      </c>
      <c r="I9" s="40" t="n">
        <f aca="false">IF(COUNT(원본_CLI_ON!X14:X16)=0,"",AVERAGE(원본_CLI_ON!X14:X16))</f>
        <v>5.31947333333333</v>
      </c>
      <c r="J9" s="40" t="str">
        <f aca="false">IF(COUNT(원본_CLI_ON!Y14:Y16)=0,"",AVERAGE(원본_CLI_ON!Y14:Y16))</f>
        <v/>
      </c>
      <c r="K9" s="40" t="n">
        <f aca="false">IF(COUNT(원본_CLI_ON!Z14:Z16)=0,"",AVERAGE(원본_CLI_ON!Z14:Z16))</f>
        <v>5.31988333333333</v>
      </c>
      <c r="L9" s="40" t="n">
        <f aca="false">IF(COUNT(원본_CLI_ON!AA14:AA16)=0,"",AVERAGE(원본_CLI_ON!AA14:AA16))</f>
        <v>28.8843</v>
      </c>
      <c r="M9" s="40" t="str">
        <f aca="false">IF(COUNT(원본_CLI_ON!AB14:AB16)=0,"",AVERAGE(원본_CLI_ON!AB14:AB16))</f>
        <v/>
      </c>
      <c r="N9" s="40" t="n">
        <f aca="false">IF(COUNT(원본_CLI_ON!AC14:AC16)=0,"",AVERAGE(원본_CLI_ON!AC14:AC16))</f>
        <v>29.004</v>
      </c>
    </row>
    <row r="10" customFormat="false" ht="15" hidden="false" customHeight="false" outlineLevel="0" collapsed="false">
      <c r="A10" s="11" t="s">
        <v>61</v>
      </c>
      <c r="B10" s="40" t="n">
        <f aca="false">IF(COUNT(원본_CLI_ON!Q17:Q19)=0,"",AVERAGE(원본_CLI_ON!Q17:Q19))</f>
        <v>43.6606</v>
      </c>
      <c r="C10" s="40" t="n">
        <f aca="false">IF(COUNT(원본_CLI_ON!R17:R19)=0,"",AVERAGE(원본_CLI_ON!R17:R19))</f>
        <v>23.8245</v>
      </c>
      <c r="D10" s="40" t="n">
        <f aca="false">IF(COUNT(원본_CLI_ON!S17:S19)=0,"",AVERAGE(원본_CLI_ON!S17:S19))</f>
        <v>1376.66666666667</v>
      </c>
      <c r="E10" s="40" t="n">
        <f aca="false">IF(COUNT(원본_CLI_ON!T17:T19)=0,"",AVERAGE(원본_CLI_ON!T17:T19))</f>
        <v>4249.66666666667</v>
      </c>
      <c r="F10" s="40" t="str">
        <f aca="false">IF(COUNT(원본_CLI_ON!U17:U19)=0,"",AVERAGE(원본_CLI_ON!U17:U19))</f>
        <v/>
      </c>
      <c r="G10" s="40" t="n">
        <f aca="false">IF(COUNT(원본_CLI_ON!V17:V19)=0,"",AVERAGE(원본_CLI_ON!V17:V19))</f>
        <v>86.913</v>
      </c>
      <c r="H10" s="40" t="n">
        <f aca="false">IF(COUNT(원본_CLI_ON!W17:W19)=0,"",AVERAGE(원본_CLI_ON!W17:W19))</f>
        <v>70.7974666666667</v>
      </c>
      <c r="I10" s="40" t="str">
        <f aca="false">IF(COUNT(원본_CLI_ON!X17:X19)=0,"",AVERAGE(원본_CLI_ON!X17:X19))</f>
        <v/>
      </c>
      <c r="J10" s="40" t="n">
        <f aca="false">IF(COUNT(원본_CLI_ON!Y17:Y19)=0,"",AVERAGE(원본_CLI_ON!Y17:Y19))</f>
        <v>6.07493333333333</v>
      </c>
      <c r="K10" s="40" t="n">
        <f aca="false">IF(COUNT(원본_CLI_ON!Z17:Z19)=0,"",AVERAGE(원본_CLI_ON!Z17:Z19))</f>
        <v>6.01145</v>
      </c>
      <c r="L10" s="40" t="str">
        <f aca="false">IF(COUNT(원본_CLI_ON!AA17:AA19)=0,"",AVERAGE(원본_CLI_ON!AA17:AA19))</f>
        <v/>
      </c>
      <c r="M10" s="40" t="n">
        <f aca="false">IF(COUNT(원본_CLI_ON!AB17:AB19)=0,"",AVERAGE(원본_CLI_ON!AB17:AB19))</f>
        <v>35.3166333333333</v>
      </c>
      <c r="N10" s="40" t="n">
        <f aca="false">IF(COUNT(원본_CLI_ON!AC17:AC19)=0,"",AVERAGE(원본_CLI_ON!AC17:AC19))</f>
        <v>33.8236333333333</v>
      </c>
    </row>
    <row r="11" customFormat="false" ht="15" hidden="false" customHeight="false" outlineLevel="0" collapsed="false">
      <c r="A11" s="11" t="s">
        <v>62</v>
      </c>
      <c r="B11" s="40" t="n">
        <f aca="false">IF(COUNT(원본_CLI_ON!Q20:Q22)=0,"",AVERAGE(원본_CLI_ON!Q20:Q22))</f>
        <v>72.58</v>
      </c>
      <c r="C11" s="40" t="n">
        <f aca="false">IF(COUNT(원본_CLI_ON!R20:R22)=0,"",AVERAGE(원본_CLI_ON!R20:R22))</f>
        <v>21.7062333333333</v>
      </c>
      <c r="D11" s="40" t="n">
        <f aca="false">IF(COUNT(원본_CLI_ON!S20:S22)=0,"",AVERAGE(원본_CLI_ON!S20:S22))</f>
        <v>2687</v>
      </c>
      <c r="E11" s="40" t="n">
        <f aca="false">IF(COUNT(원본_CLI_ON!T20:T22)=0,"",AVERAGE(원본_CLI_ON!T20:T22))</f>
        <v>5993.66666666667</v>
      </c>
      <c r="F11" s="40" t="n">
        <f aca="false">IF(COUNT(원본_CLI_ON!U20:U22)=0,"",AVERAGE(원본_CLI_ON!U20:U22))</f>
        <v>69.0013</v>
      </c>
      <c r="G11" s="40" t="n">
        <f aca="false">IF(COUNT(원본_CLI_ON!V20:V22)=0,"",AVERAGE(원본_CLI_ON!V20:V22))</f>
        <v>63.0992</v>
      </c>
      <c r="H11" s="40" t="n">
        <f aca="false">IF(COUNT(원본_CLI_ON!W20:W22)=0,"",AVERAGE(원본_CLI_ON!W20:W22))</f>
        <v>63.7406333333333</v>
      </c>
      <c r="I11" s="40" t="n">
        <f aca="false">IF(COUNT(원본_CLI_ON!X20:X22)=0,"",AVERAGE(원본_CLI_ON!X20:X22))</f>
        <v>5.76786333333333</v>
      </c>
      <c r="J11" s="40" t="n">
        <f aca="false">IF(COUNT(원본_CLI_ON!Y20:Y22)=0,"",AVERAGE(원본_CLI_ON!Y20:Y22))</f>
        <v>5.48821333333333</v>
      </c>
      <c r="K11" s="40" t="n">
        <f aca="false">IF(COUNT(원본_CLI_ON!Z20:Z22)=0,"",AVERAGE(원본_CLI_ON!Z20:Z22))</f>
        <v>5.41254333333333</v>
      </c>
      <c r="L11" s="40" t="n">
        <f aca="false">IF(COUNT(원본_CLI_ON!AA20:AA22)=0,"",AVERAGE(원본_CLI_ON!AA20:AA22))</f>
        <v>31.9958666666667</v>
      </c>
      <c r="M11" s="40" t="n">
        <f aca="false">IF(COUNT(원본_CLI_ON!AB20:AB22)=0,"",AVERAGE(원본_CLI_ON!AB20:AB22))</f>
        <v>32.1773333333333</v>
      </c>
      <c r="N11" s="40" t="n">
        <f aca="false">IF(COUNT(원본_CLI_ON!AC20:AC22)=0,"",AVERAGE(원본_CLI_ON!AC20:AC22))</f>
        <v>32.1047333333333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6" min="4" style="0" width="13"/>
    <col collapsed="false" customWidth="true" hidden="false" outlineLevel="0" max="7" min="7" style="0" width="20"/>
  </cols>
  <sheetData>
    <row r="1" customFormat="false" ht="20.1" hidden="false" customHeight="false" outlineLevel="0" collapsed="false">
      <c r="A1" s="46" t="s">
        <v>129</v>
      </c>
    </row>
    <row r="2" customFormat="false" ht="15" hidden="false" customHeight="false" outlineLevel="0" collapsed="false">
      <c r="A2" s="15" t="s">
        <v>130</v>
      </c>
    </row>
    <row r="4" customFormat="false" ht="30" hidden="false" customHeight="true" outlineLevel="0" collapsed="false">
      <c r="A4" s="16" t="s">
        <v>78</v>
      </c>
      <c r="B4" s="16" t="s">
        <v>79</v>
      </c>
      <c r="C4" s="16" t="s">
        <v>80</v>
      </c>
      <c r="D4" s="16" t="s">
        <v>131</v>
      </c>
      <c r="E4" s="16" t="s">
        <v>132</v>
      </c>
      <c r="F4" s="16" t="s">
        <v>88</v>
      </c>
      <c r="G4" s="16" t="s">
        <v>133</v>
      </c>
    </row>
    <row r="5" customFormat="false" ht="15" hidden="false" customHeight="false" outlineLevel="0" collapsed="false">
      <c r="A5" s="37" t="s">
        <v>56</v>
      </c>
      <c r="B5" s="35" t="s">
        <v>104</v>
      </c>
      <c r="C5" s="37" t="s">
        <v>56</v>
      </c>
      <c r="D5" s="12" t="n">
        <f aca="false">AVERAGE(원본_CLI_OFF!G2:G4)</f>
        <v>17.8358</v>
      </c>
      <c r="E5" s="12" t="n">
        <f aca="false">AVERAGE(참고_CLI_OFF_세트A!G2:G4)</f>
        <v>17.9407666666667</v>
      </c>
      <c r="F5" s="36" t="n">
        <f aca="false">IF(D5=0,"",(E5-D5)/D5)</f>
        <v>0.00588516728527245</v>
      </c>
      <c r="G5" s="36" t="n">
        <f aca="false">조건별_비교!K5</f>
        <v>0.0747971308641421</v>
      </c>
    </row>
    <row r="6" customFormat="false" ht="15" hidden="false" customHeight="false" outlineLevel="0" collapsed="false">
      <c r="A6" s="37" t="s">
        <v>57</v>
      </c>
      <c r="B6" s="35" t="s">
        <v>104</v>
      </c>
      <c r="C6" s="37" t="s">
        <v>57</v>
      </c>
      <c r="D6" s="12" t="n">
        <f aca="false">AVERAGE(원본_CLI_OFF!J5:J7)</f>
        <v>22.8428</v>
      </c>
      <c r="E6" s="12" t="n">
        <f aca="false">AVERAGE(참고_CLI_OFF_세트A!J5:J7)</f>
        <v>23.0129</v>
      </c>
      <c r="F6" s="36" t="n">
        <f aca="false">IF(D6=0,"",(E6-D6)/D6)</f>
        <v>0.00744654770868727</v>
      </c>
      <c r="G6" s="36" t="n">
        <f aca="false">조건별_비교!K9</f>
        <v>0.0812101260207446</v>
      </c>
    </row>
    <row r="7" customFormat="false" ht="15" hidden="false" customHeight="false" outlineLevel="0" collapsed="false">
      <c r="A7" s="37" t="s">
        <v>58</v>
      </c>
      <c r="B7" s="35" t="s">
        <v>104</v>
      </c>
      <c r="C7" s="37" t="s">
        <v>58</v>
      </c>
      <c r="D7" s="12" t="n">
        <f aca="false">AVERAGE(원본_CLI_OFF!M8:M10)</f>
        <v>17.8179333333333</v>
      </c>
      <c r="E7" s="12" t="n">
        <f aca="false">AVERAGE(참고_CLI_OFF_세트A!M8:M10)</f>
        <v>18.0161333333333</v>
      </c>
      <c r="F7" s="36" t="n">
        <f aca="false">IF(D7=0,"",(E7-D7)/D7)</f>
        <v>0.011123624513131</v>
      </c>
      <c r="G7" s="36" t="n">
        <f aca="false">조건별_비교!K13</f>
        <v>0.103953320437462</v>
      </c>
    </row>
    <row r="8" customFormat="false" ht="15" hidden="false" customHeight="false" outlineLevel="0" collapsed="false">
      <c r="A8" s="37" t="s">
        <v>59</v>
      </c>
      <c r="B8" s="35" t="s">
        <v>104</v>
      </c>
      <c r="C8" s="37" t="s">
        <v>56</v>
      </c>
      <c r="D8" s="12" t="n">
        <f aca="false">AVERAGE(원본_CLI_OFF!G11:G13)</f>
        <v>25.1568</v>
      </c>
      <c r="E8" s="12" t="n">
        <f aca="false">AVERAGE(참고_CLI_OFF_세트A!G11:G13)</f>
        <v>25.3086666666667</v>
      </c>
      <c r="F8" s="36" t="n">
        <f aca="false">IF(D8=0,"",(E8-D8)/D8)</f>
        <v>0.00603680383302593</v>
      </c>
      <c r="G8" s="36" t="n">
        <f aca="false">조건별_비교!K17</f>
        <v>0.0683698509614366</v>
      </c>
    </row>
    <row r="9" customFormat="false" ht="15" hidden="false" customHeight="false" outlineLevel="0" collapsed="false">
      <c r="A9" s="37" t="s">
        <v>59</v>
      </c>
      <c r="B9" s="35" t="s">
        <v>104</v>
      </c>
      <c r="C9" s="37" t="s">
        <v>57</v>
      </c>
      <c r="D9" s="12" t="n">
        <f aca="false">AVERAGE(원본_CLI_OFF!J11:J13)</f>
        <v>25.1607333333333</v>
      </c>
      <c r="E9" s="12" t="n">
        <f aca="false">AVERAGE(참고_CLI_OFF_세트A!J11:J13)</f>
        <v>25.3466666666667</v>
      </c>
      <c r="F9" s="36" t="n">
        <f aca="false">IF(D9=0,"",(E9-D9)/D9)</f>
        <v>0.00738982170630933</v>
      </c>
      <c r="G9" s="36" t="n">
        <f aca="false">조건별_비교!K18</f>
        <v>0.114061328366158</v>
      </c>
    </row>
    <row r="10" customFormat="false" ht="15" hidden="false" customHeight="false" outlineLevel="0" collapsed="false">
      <c r="A10" s="37" t="s">
        <v>60</v>
      </c>
      <c r="B10" s="35" t="s">
        <v>104</v>
      </c>
      <c r="C10" s="37" t="s">
        <v>56</v>
      </c>
      <c r="D10" s="12" t="n">
        <f aca="false">AVERAGE(원본_CLI_OFF!G14:G16)</f>
        <v>20.7239333333333</v>
      </c>
      <c r="E10" s="12" t="n">
        <f aca="false">AVERAGE(참고_CLI_OFF_세트A!G14:G16)</f>
        <v>20.7554333333333</v>
      </c>
      <c r="F10" s="36" t="n">
        <f aca="false">IF(D10=0,"",(E10-D10)/D10)</f>
        <v>0.00151998172805022</v>
      </c>
      <c r="G10" s="36" t="n">
        <f aca="false">조건별_비교!K23</f>
        <v>0.137083050514864</v>
      </c>
    </row>
    <row r="11" customFormat="false" ht="15" hidden="false" customHeight="false" outlineLevel="0" collapsed="false">
      <c r="A11" s="37" t="s">
        <v>60</v>
      </c>
      <c r="B11" s="35" t="s">
        <v>104</v>
      </c>
      <c r="C11" s="37" t="s">
        <v>58</v>
      </c>
      <c r="D11" s="12" t="n">
        <f aca="false">AVERAGE(원본_CLI_OFF!M14:M16)</f>
        <v>20.745</v>
      </c>
      <c r="E11" s="12" t="n">
        <f aca="false">AVERAGE(참고_CLI_OFF_세트A!M14:M16)</f>
        <v>20.7551666666667</v>
      </c>
      <c r="F11" s="36" t="n">
        <f aca="false">IF(D11=0,"",(E11-D11)/D11)</f>
        <v>0.000490077930425002</v>
      </c>
      <c r="G11" s="36" t="n">
        <f aca="false">조건별_비교!K24</f>
        <v>0.141677512653651</v>
      </c>
    </row>
    <row r="12" customFormat="false" ht="15" hidden="false" customHeight="false" outlineLevel="0" collapsed="false">
      <c r="A12" s="37" t="s">
        <v>61</v>
      </c>
      <c r="B12" s="35" t="s">
        <v>104</v>
      </c>
      <c r="C12" s="37" t="s">
        <v>57</v>
      </c>
      <c r="D12" s="12" t="n">
        <f aca="false">AVERAGE(원본_CLI_OFF!J17:J19)</f>
        <v>25.5236666666667</v>
      </c>
      <c r="E12" s="12" t="n">
        <f aca="false">AVERAGE(참고_CLI_OFF_세트A!J17:J19)</f>
        <v>25.4672333333333</v>
      </c>
      <c r="F12" s="36" t="n">
        <f aca="false">IF(D12=0,"",(E12-D12)/D12)</f>
        <v>-0.0022110198377975</v>
      </c>
      <c r="G12" s="36" t="n">
        <f aca="false">조건별_비교!K29</f>
        <v>0.145670031735252</v>
      </c>
    </row>
    <row r="13" customFormat="false" ht="15" hidden="false" customHeight="false" outlineLevel="0" collapsed="false">
      <c r="A13" s="37" t="s">
        <v>61</v>
      </c>
      <c r="B13" s="35" t="s">
        <v>104</v>
      </c>
      <c r="C13" s="37" t="s">
        <v>58</v>
      </c>
      <c r="D13" s="12" t="n">
        <f aca="false">AVERAGE(원본_CLI_OFF!M17:M19)</f>
        <v>25.5649666666667</v>
      </c>
      <c r="E13" s="12" t="n">
        <f aca="false">AVERAGE(참고_CLI_OFF_세트A!M17:M19)</f>
        <v>25.577</v>
      </c>
      <c r="F13" s="36" t="n">
        <f aca="false">IF(D13=0,"",(E13-D13)/D13)</f>
        <v>0.000470696226215746</v>
      </c>
      <c r="G13" s="36" t="n">
        <f aca="false">조건별_비교!K30</f>
        <v>0.0879015423450581</v>
      </c>
    </row>
    <row r="14" customFormat="false" ht="15" hidden="false" customHeight="false" outlineLevel="0" collapsed="false">
      <c r="A14" s="37" t="s">
        <v>62</v>
      </c>
      <c r="B14" s="35" t="s">
        <v>104</v>
      </c>
      <c r="C14" s="37" t="s">
        <v>56</v>
      </c>
      <c r="D14" s="12" t="n">
        <f aca="false">AVERAGE(원본_CLI_OFF!G20:G22)</f>
        <v>25.9363333333333</v>
      </c>
      <c r="E14" s="12" t="n">
        <f aca="false">AVERAGE(참고_CLI_OFF_세트A!G20:G22)</f>
        <v>26.1254333333333</v>
      </c>
      <c r="F14" s="36" t="n">
        <f aca="false">IF(D14=0,"",(E14-D14)/D14)</f>
        <v>0.0072909303551003</v>
      </c>
      <c r="G14" s="36" t="n">
        <f aca="false">조건별_비교!K35</f>
        <v>0.011245485740724</v>
      </c>
    </row>
    <row r="15" customFormat="false" ht="15" hidden="false" customHeight="false" outlineLevel="0" collapsed="false">
      <c r="A15" s="37" t="s">
        <v>62</v>
      </c>
      <c r="B15" s="35" t="s">
        <v>104</v>
      </c>
      <c r="C15" s="37" t="s">
        <v>57</v>
      </c>
      <c r="D15" s="12" t="n">
        <f aca="false">AVERAGE(원본_CLI_OFF!J20:J22)</f>
        <v>25.8181666666667</v>
      </c>
      <c r="E15" s="12" t="n">
        <f aca="false">AVERAGE(참고_CLI_OFF_세트A!J20:J22)</f>
        <v>26.023</v>
      </c>
      <c r="F15" s="36" t="n">
        <f aca="false">IF(D15=0,"",(E15-D15)/D15)</f>
        <v>0.00793369010193081</v>
      </c>
      <c r="G15" s="36" t="n">
        <f aca="false">조건별_비교!K36</f>
        <v>0.033734644210472</v>
      </c>
    </row>
    <row r="16" customFormat="false" ht="15" hidden="false" customHeight="false" outlineLevel="0" collapsed="false">
      <c r="A16" s="37" t="s">
        <v>62</v>
      </c>
      <c r="B16" s="35" t="s">
        <v>104</v>
      </c>
      <c r="C16" s="37" t="s">
        <v>58</v>
      </c>
      <c r="D16" s="12" t="n">
        <f aca="false">AVERAGE(원본_CLI_OFF!M20:M22)</f>
        <v>25.8600333333333</v>
      </c>
      <c r="E16" s="12" t="n">
        <f aca="false">AVERAGE(참고_CLI_OFF_세트A!M20:M22)</f>
        <v>26.0866</v>
      </c>
      <c r="F16" s="36" t="n">
        <f aca="false">IF(D16=0,"",(E16-D16)/D16)</f>
        <v>0.00876126738686855</v>
      </c>
      <c r="G16" s="36" t="n">
        <f aca="false">조건별_비교!K37</f>
        <v>0.032179644006646</v>
      </c>
    </row>
    <row r="17" customFormat="false" ht="15" hidden="false" customHeight="false" outlineLevel="0" collapsed="false">
      <c r="A17" s="37" t="s">
        <v>56</v>
      </c>
      <c r="B17" s="37" t="s">
        <v>12</v>
      </c>
      <c r="C17" s="37" t="s">
        <v>56</v>
      </c>
      <c r="D17" s="12" t="n">
        <f aca="false">AVERAGE(원본_CLI_OFF!H2:H4)</f>
        <v>42.3454</v>
      </c>
      <c r="E17" s="12" t="n">
        <f aca="false">AVERAGE(참고_CLI_OFF_세트A!H2:H4)</f>
        <v>42.0927333333333</v>
      </c>
      <c r="F17" s="36" t="n">
        <f aca="false">IF(D17=0,"",(E17-D17)/D17)</f>
        <v>-0.00596680316319293</v>
      </c>
      <c r="G17" s="36" t="n">
        <f aca="false">조건별_비교!K6</f>
        <v>-0.0573718357444571</v>
      </c>
    </row>
    <row r="18" customFormat="false" ht="15" hidden="false" customHeight="false" outlineLevel="0" collapsed="false">
      <c r="A18" s="37" t="s">
        <v>57</v>
      </c>
      <c r="B18" s="37" t="s">
        <v>12</v>
      </c>
      <c r="C18" s="37" t="s">
        <v>57</v>
      </c>
      <c r="D18" s="12" t="n">
        <f aca="false">AVERAGE(원본_CLI_OFF!K5:K7)</f>
        <v>34.6877</v>
      </c>
      <c r="E18" s="12" t="n">
        <f aca="false">AVERAGE(참고_CLI_OFF_세트A!K5:K7)</f>
        <v>34.6095666666667</v>
      </c>
      <c r="F18" s="36" t="n">
        <f aca="false">IF(D18=0,"",(E18-D18)/D18)</f>
        <v>-0.00225247950522328</v>
      </c>
      <c r="G18" s="36" t="n">
        <f aca="false">조건별_비교!K10</f>
        <v>-0.0585692719129066</v>
      </c>
    </row>
    <row r="19" customFormat="false" ht="15" hidden="false" customHeight="false" outlineLevel="0" collapsed="false">
      <c r="A19" s="37" t="s">
        <v>58</v>
      </c>
      <c r="B19" s="37" t="s">
        <v>12</v>
      </c>
      <c r="C19" s="37" t="s">
        <v>58</v>
      </c>
      <c r="D19" s="12" t="n">
        <f aca="false">AVERAGE(원본_CLI_OFF!N8:N10)</f>
        <v>42.3741666666667</v>
      </c>
      <c r="E19" s="12" t="n">
        <f aca="false">AVERAGE(참고_CLI_OFF_세트A!N8:N10)</f>
        <v>41.9303333333333</v>
      </c>
      <c r="F19" s="36" t="n">
        <f aca="false">IF(D19=0,"",(E19-D19)/D19)</f>
        <v>-0.0104741489508153</v>
      </c>
      <c r="G19" s="36" t="n">
        <f aca="false">조건별_비교!K14</f>
        <v>-0.0769918779130365</v>
      </c>
    </row>
    <row r="20" customFormat="false" ht="15" hidden="false" customHeight="false" outlineLevel="0" collapsed="false">
      <c r="A20" s="37" t="s">
        <v>59</v>
      </c>
      <c r="B20" s="37" t="s">
        <v>12</v>
      </c>
      <c r="C20" s="37" t="s">
        <v>56</v>
      </c>
      <c r="D20" s="12" t="n">
        <f aca="false">AVERAGE(원본_CLI_OFF!H11:H13)</f>
        <v>32.0327</v>
      </c>
      <c r="E20" s="12" t="n">
        <f aca="false">AVERAGE(참고_CLI_OFF_세트A!H11:H13)</f>
        <v>31.8959666666667</v>
      </c>
      <c r="F20" s="36" t="n">
        <f aca="false">IF(D20=0,"",(E20-D20)/D20)</f>
        <v>-0.00426855473729445</v>
      </c>
      <c r="G20" s="36" t="n">
        <f aca="false">조건별_비교!K19</f>
        <v>-0.0545723588707788</v>
      </c>
    </row>
    <row r="21" customFormat="false" ht="15" hidden="false" customHeight="false" outlineLevel="0" collapsed="false">
      <c r="A21" s="37" t="s">
        <v>59</v>
      </c>
      <c r="B21" s="37" t="s">
        <v>12</v>
      </c>
      <c r="C21" s="37" t="s">
        <v>57</v>
      </c>
      <c r="D21" s="12" t="n">
        <f aca="false">AVERAGE(원본_CLI_OFF!K11:K13)</f>
        <v>31.9858666666667</v>
      </c>
      <c r="E21" s="12" t="n">
        <f aca="false">AVERAGE(참고_CLI_OFF_세트A!K11:K13)</f>
        <v>31.8038666666667</v>
      </c>
      <c r="F21" s="36" t="n">
        <f aca="false">IF(D21=0,"",(E21-D21)/D21)</f>
        <v>-0.00569001308911443</v>
      </c>
      <c r="G21" s="36" t="n">
        <f aca="false">조건별_비교!K20</f>
        <v>-0.0857691313663534</v>
      </c>
    </row>
    <row r="22" customFormat="false" ht="15" hidden="false" customHeight="false" outlineLevel="0" collapsed="false">
      <c r="A22" s="37" t="s">
        <v>60</v>
      </c>
      <c r="B22" s="37" t="s">
        <v>12</v>
      </c>
      <c r="C22" s="37" t="s">
        <v>56</v>
      </c>
      <c r="D22" s="12" t="n">
        <f aca="false">AVERAGE(원본_CLI_OFF!H14:H16)</f>
        <v>38.236</v>
      </c>
      <c r="E22" s="12" t="n">
        <f aca="false">AVERAGE(참고_CLI_OFF_세트A!H14:H16)</f>
        <v>38.2805333333333</v>
      </c>
      <c r="F22" s="36" t="n">
        <f aca="false">IF(D22=0,"",(E22-D22)/D22)</f>
        <v>0.00116469644662971</v>
      </c>
      <c r="G22" s="36" t="n">
        <f aca="false">조건별_비교!K25</f>
        <v>-0.0970952331136449</v>
      </c>
    </row>
    <row r="23" customFormat="false" ht="15" hidden="false" customHeight="false" outlineLevel="0" collapsed="false">
      <c r="A23" s="37" t="s">
        <v>60</v>
      </c>
      <c r="B23" s="37" t="s">
        <v>12</v>
      </c>
      <c r="C23" s="37" t="s">
        <v>58</v>
      </c>
      <c r="D23" s="12" t="n">
        <f aca="false">AVERAGE(원본_CLI_OFF!N14:N16)</f>
        <v>38.2378</v>
      </c>
      <c r="E23" s="12" t="n">
        <f aca="false">AVERAGE(참고_CLI_OFF_세트A!N14:N16)</f>
        <v>38.3009666666667</v>
      </c>
      <c r="F23" s="36" t="n">
        <f aca="false">IF(D23=0,"",(E23-D23)/D23)</f>
        <v>0.00165194301624747</v>
      </c>
      <c r="G23" s="36" t="n">
        <f aca="false">조건별_비교!K26</f>
        <v>-0.100622943788607</v>
      </c>
    </row>
    <row r="24" customFormat="false" ht="15" hidden="false" customHeight="false" outlineLevel="0" collapsed="false">
      <c r="A24" s="37" t="s">
        <v>61</v>
      </c>
      <c r="B24" s="37" t="s">
        <v>12</v>
      </c>
      <c r="C24" s="37" t="s">
        <v>57</v>
      </c>
      <c r="D24" s="12" t="n">
        <f aca="false">AVERAGE(원본_CLI_OFF!K17:K19)</f>
        <v>31.5831333333333</v>
      </c>
      <c r="E24" s="12" t="n">
        <f aca="false">AVERAGE(참고_CLI_OFF_세트A!K17:K19)</f>
        <v>31.5784333333333</v>
      </c>
      <c r="F24" s="36" t="n">
        <f aca="false">IF(D24=0,"",(E24-D24)/D24)</f>
        <v>-0.000148813607262939</v>
      </c>
      <c r="G24" s="36" t="n">
        <f aca="false">조건별_비교!K31</f>
        <v>-0.105547897928641</v>
      </c>
    </row>
    <row r="25" customFormat="false" ht="15" hidden="false" customHeight="false" outlineLevel="0" collapsed="false">
      <c r="A25" s="37" t="s">
        <v>61</v>
      </c>
      <c r="B25" s="37" t="s">
        <v>12</v>
      </c>
      <c r="C25" s="37" t="s">
        <v>58</v>
      </c>
      <c r="D25" s="12" t="n">
        <f aca="false">AVERAGE(원본_CLI_OFF!N17:N19)</f>
        <v>31.645</v>
      </c>
      <c r="E25" s="12" t="n">
        <f aca="false">AVERAGE(참고_CLI_OFF_세트A!N17:N19)</f>
        <v>31.5850333333333</v>
      </c>
      <c r="F25" s="36" t="n">
        <f aca="false">IF(D25=0,"",(E25-D25)/D25)</f>
        <v>-0.00189498077632068</v>
      </c>
      <c r="G25" s="36" t="n">
        <f aca="false">조건별_비교!K32</f>
        <v>-0.0682835624374572</v>
      </c>
    </row>
    <row r="26" customFormat="false" ht="15" hidden="false" customHeight="false" outlineLevel="0" collapsed="false">
      <c r="A26" s="37" t="s">
        <v>62</v>
      </c>
      <c r="B26" s="37" t="s">
        <v>12</v>
      </c>
      <c r="C26" s="37" t="s">
        <v>56</v>
      </c>
      <c r="D26" s="12" t="n">
        <f aca="false">AVERAGE(원본_CLI_OFF!H20:H22)</f>
        <v>31.7123666666667</v>
      </c>
      <c r="E26" s="12" t="n">
        <f aca="false">AVERAGE(참고_CLI_OFF_세트A!H20:H22)</f>
        <v>31.7307666666667</v>
      </c>
      <c r="F26" s="36" t="n">
        <f aca="false">IF(D26=0,"",(E26-D26)/D26)</f>
        <v>0.000580215289303534</v>
      </c>
      <c r="G26" s="36" t="n">
        <f aca="false">조건별_비교!K38</f>
        <v>-0.0170806131362003</v>
      </c>
    </row>
    <row r="27" customFormat="false" ht="15" hidden="false" customHeight="false" outlineLevel="0" collapsed="false">
      <c r="A27" s="37" t="s">
        <v>62</v>
      </c>
      <c r="B27" s="37" t="s">
        <v>12</v>
      </c>
      <c r="C27" s="37" t="s">
        <v>57</v>
      </c>
      <c r="D27" s="12" t="n">
        <f aca="false">AVERAGE(원본_CLI_OFF!K20:K22)</f>
        <v>31.7022666666667</v>
      </c>
      <c r="E27" s="12" t="n">
        <f aca="false">AVERAGE(참고_CLI_OFF_세트A!K20:K22)</f>
        <v>31.7259333333333</v>
      </c>
      <c r="F27" s="36" t="n">
        <f aca="false">IF(D27=0,"",(E27-D27)/D27)</f>
        <v>0.000746529165106808</v>
      </c>
      <c r="G27" s="36" t="n">
        <f aca="false">조건별_비교!K39</f>
        <v>-0.02192692846358</v>
      </c>
    </row>
    <row r="28" customFormat="false" ht="15" hidden="false" customHeight="false" outlineLevel="0" collapsed="false">
      <c r="A28" s="37" t="s">
        <v>62</v>
      </c>
      <c r="B28" s="37" t="s">
        <v>12</v>
      </c>
      <c r="C28" s="37" t="s">
        <v>58</v>
      </c>
      <c r="D28" s="12" t="n">
        <f aca="false">AVERAGE(원본_CLI_OFF!N20:N22)</f>
        <v>31.7397666666667</v>
      </c>
      <c r="E28" s="12" t="n">
        <f aca="false">AVERAGE(참고_CLI_OFF_세트A!N20:N22)</f>
        <v>31.7307</v>
      </c>
      <c r="F28" s="36" t="n">
        <f aca="false">IF(D28=0,"",(E28-D28)/D28)</f>
        <v>-0.000285656374285546</v>
      </c>
      <c r="G28" s="36" t="n">
        <f aca="false">조건별_비교!K40</f>
        <v>-0.0211385716971245</v>
      </c>
    </row>
    <row r="29" customFormat="false" ht="15" hidden="false" customHeight="false" outlineLevel="0" collapsed="false">
      <c r="A29" s="37" t="s">
        <v>56</v>
      </c>
      <c r="B29" s="37" t="s">
        <v>92</v>
      </c>
      <c r="C29" s="37" t="s">
        <v>93</v>
      </c>
      <c r="D29" s="12" t="n">
        <f aca="false">AVERAGE(원본_CLI_OFF!O2:O4)</f>
        <v>12.7268</v>
      </c>
      <c r="E29" s="12" t="n">
        <f aca="false">AVERAGE(참고_CLI_OFF_세트A!O2:O4)</f>
        <v>12.4009666666667</v>
      </c>
      <c r="F29" s="36" t="n">
        <f aca="false">IF(D29=0,"",(E29-D29)/D29)</f>
        <v>-0.0256021414128714</v>
      </c>
      <c r="G29" s="36" t="n">
        <f aca="false">조건별_비교!K7</f>
        <v>-0.00964631067249154</v>
      </c>
    </row>
    <row r="30" customFormat="false" ht="15" hidden="false" customHeight="false" outlineLevel="0" collapsed="false">
      <c r="A30" s="37" t="s">
        <v>57</v>
      </c>
      <c r="B30" s="37" t="s">
        <v>92</v>
      </c>
      <c r="C30" s="37" t="s">
        <v>93</v>
      </c>
      <c r="D30" s="12" t="n">
        <f aca="false">AVERAGE(원본_CLI_OFF!O5:O7)</f>
        <v>10.9258</v>
      </c>
      <c r="E30" s="12" t="n">
        <f aca="false">AVERAGE(참고_CLI_OFF_세트A!O5:O7)</f>
        <v>10.9832666666667</v>
      </c>
      <c r="F30" s="36" t="n">
        <f aca="false">IF(D30=0,"",(E30-D30)/D30)</f>
        <v>0.00525972163746955</v>
      </c>
      <c r="G30" s="36" t="n">
        <f aca="false">조건별_비교!K11</f>
        <v>-0.0398170690780843</v>
      </c>
    </row>
    <row r="31" customFormat="false" ht="15" hidden="false" customHeight="false" outlineLevel="0" collapsed="false">
      <c r="A31" s="37" t="s">
        <v>58</v>
      </c>
      <c r="B31" s="37" t="s">
        <v>92</v>
      </c>
      <c r="C31" s="37" t="s">
        <v>93</v>
      </c>
      <c r="D31" s="12" t="n">
        <f aca="false">AVERAGE(원본_CLI_OFF!O8:O10)</f>
        <v>12.7258666666667</v>
      </c>
      <c r="E31" s="12" t="n">
        <f aca="false">AVERAGE(참고_CLI_OFF_세트A!O8:O10)</f>
        <v>12.6991666666667</v>
      </c>
      <c r="F31" s="36" t="n">
        <f aca="false">IF(D31=0,"",(E31-D31)/D31)</f>
        <v>-0.00209808893172974</v>
      </c>
      <c r="G31" s="36" t="n">
        <f aca="false">조건별_비교!K15</f>
        <v>-0.0313272704413059</v>
      </c>
    </row>
    <row r="32" customFormat="false" ht="15" hidden="false" customHeight="false" outlineLevel="0" collapsed="false">
      <c r="A32" s="37" t="s">
        <v>59</v>
      </c>
      <c r="B32" s="37" t="s">
        <v>92</v>
      </c>
      <c r="C32" s="37" t="s">
        <v>93</v>
      </c>
      <c r="D32" s="12" t="n">
        <f aca="false">AVERAGE(원본_CLI_OFF!O11:O13)</f>
        <v>19.1542333333333</v>
      </c>
      <c r="E32" s="12" t="n">
        <f aca="false">AVERAGE(참고_CLI_OFF_세트A!O11:O13)</f>
        <v>19.0269</v>
      </c>
      <c r="F32" s="36" t="n">
        <f aca="false">IF(D32=0,"",(E32-D32)/D32)</f>
        <v>-0.00664779065376319</v>
      </c>
      <c r="G32" s="36" t="n">
        <f aca="false">조건별_비교!K21</f>
        <v>-0.0581298825150924</v>
      </c>
    </row>
    <row r="33" customFormat="false" ht="15" hidden="false" customHeight="false" outlineLevel="0" collapsed="false">
      <c r="A33" s="37" t="s">
        <v>60</v>
      </c>
      <c r="B33" s="37" t="s">
        <v>92</v>
      </c>
      <c r="C33" s="37" t="s">
        <v>93</v>
      </c>
      <c r="D33" s="12" t="n">
        <f aca="false">AVERAGE(원본_CLI_OFF!O14:O16)</f>
        <v>21.2264333333333</v>
      </c>
      <c r="E33" s="12" t="n">
        <f aca="false">AVERAGE(참고_CLI_OFF_세트A!O14:O16)</f>
        <v>21.0725333333333</v>
      </c>
      <c r="F33" s="36" t="n">
        <f aca="false">IF(D33=0,"",(E33-D33)/D33)</f>
        <v>-0.00725039377003203</v>
      </c>
      <c r="G33" s="36" t="n">
        <f aca="false">조건별_비교!K27</f>
        <v>-0.070266161845372</v>
      </c>
    </row>
    <row r="34" customFormat="false" ht="15" hidden="false" customHeight="false" outlineLevel="0" collapsed="false">
      <c r="A34" s="37" t="s">
        <v>61</v>
      </c>
      <c r="B34" s="37" t="s">
        <v>92</v>
      </c>
      <c r="C34" s="37" t="s">
        <v>93</v>
      </c>
      <c r="D34" s="12" t="n">
        <f aca="false">AVERAGE(원본_CLI_OFF!O17:O19)</f>
        <v>19.0487666666667</v>
      </c>
      <c r="E34" s="12" t="n">
        <f aca="false">AVERAGE(참고_CLI_OFF_세트A!O17:O19)</f>
        <v>19.0748333333333</v>
      </c>
      <c r="F34" s="36" t="n">
        <f aca="false">IF(D34=0,"",(E34-D34)/D34)</f>
        <v>0.00136841755284255</v>
      </c>
      <c r="G34" s="36" t="n">
        <f aca="false">조건별_비교!K33</f>
        <v>-0.0697297987796234</v>
      </c>
    </row>
    <row r="35" customFormat="false" ht="15" hidden="false" customHeight="false" outlineLevel="0" collapsed="false">
      <c r="A35" s="37" t="s">
        <v>62</v>
      </c>
      <c r="B35" s="37" t="s">
        <v>92</v>
      </c>
      <c r="C35" s="37" t="s">
        <v>93</v>
      </c>
      <c r="D35" s="12" t="n">
        <f aca="false">AVERAGE(원본_CLI_OFF!O20:O22)</f>
        <v>26.9480333333333</v>
      </c>
      <c r="E35" s="12" t="n">
        <f aca="false">AVERAGE(참고_CLI_OFF_세트A!O20:O22)</f>
        <v>26.4314666666667</v>
      </c>
      <c r="F35" s="36" t="n">
        <f aca="false">IF(D35=0,"",(E35-D35)/D35)</f>
        <v>-0.0191689931609109</v>
      </c>
      <c r="G35" s="36" t="n">
        <f aca="false">조건별_비교!K41</f>
        <v>-0.0565075249770854</v>
      </c>
    </row>
    <row r="36" customFormat="false" ht="15" hidden="false" customHeight="false" outlineLevel="0" collapsed="false">
      <c r="A36" s="37" t="s">
        <v>56</v>
      </c>
      <c r="B36" s="37" t="s">
        <v>94</v>
      </c>
      <c r="C36" s="37" t="s">
        <v>93</v>
      </c>
      <c r="D36" s="12" t="n">
        <f aca="false">AVERAGE(원본_CLI_OFF!P2:P4)</f>
        <v>6.80632</v>
      </c>
      <c r="E36" s="12" t="n">
        <f aca="false">AVERAGE(참고_CLI_OFF_세트A!P2:P4)</f>
        <v>8.45525</v>
      </c>
      <c r="F36" s="36" t="n">
        <f aca="false">IF(D36=0,"",(E36-D36)/D36)</f>
        <v>0.242264542366506</v>
      </c>
      <c r="G36" s="36" t="n">
        <f aca="false">조건별_비교!K8</f>
        <v>0.166559903148838</v>
      </c>
    </row>
    <row r="37" customFormat="false" ht="15" hidden="false" customHeight="false" outlineLevel="0" collapsed="false">
      <c r="A37" s="37" t="s">
        <v>57</v>
      </c>
      <c r="B37" s="37" t="s">
        <v>94</v>
      </c>
      <c r="C37" s="37" t="s">
        <v>93</v>
      </c>
      <c r="D37" s="12" t="n">
        <f aca="false">AVERAGE(원본_CLI_OFF!P5:P7)</f>
        <v>6.95555333333333</v>
      </c>
      <c r="E37" s="12" t="n">
        <f aca="false">AVERAGE(참고_CLI_OFF_세트A!P5:P7)</f>
        <v>8.53279333333333</v>
      </c>
      <c r="F37" s="36" t="n">
        <f aca="false">IF(D37=0,"",(E37-D37)/D37)</f>
        <v>0.226759816856171</v>
      </c>
      <c r="G37" s="36" t="n">
        <f aca="false">조건별_비교!K12</f>
        <v>0.164860116568727</v>
      </c>
    </row>
    <row r="38" customFormat="false" ht="15" hidden="false" customHeight="false" outlineLevel="0" collapsed="false">
      <c r="A38" s="37" t="s">
        <v>58</v>
      </c>
      <c r="B38" s="37" t="s">
        <v>94</v>
      </c>
      <c r="C38" s="37" t="s">
        <v>93</v>
      </c>
      <c r="D38" s="12" t="n">
        <f aca="false">AVERAGE(원본_CLI_OFF!P8:P10)</f>
        <v>6.97832</v>
      </c>
      <c r="E38" s="12" t="n">
        <f aca="false">AVERAGE(참고_CLI_OFF_세트A!P8:P10)</f>
        <v>8.48751333333333</v>
      </c>
      <c r="F38" s="36" t="n">
        <f aca="false">IF(D38=0,"",(E38-D38)/D38)</f>
        <v>0.21626886318388</v>
      </c>
      <c r="G38" s="36" t="n">
        <f aca="false">조건별_비교!K16</f>
        <v>0.138068092797884</v>
      </c>
    </row>
    <row r="39" customFormat="false" ht="15" hidden="false" customHeight="false" outlineLevel="0" collapsed="false">
      <c r="A39" s="37" t="s">
        <v>59</v>
      </c>
      <c r="B39" s="37" t="s">
        <v>94</v>
      </c>
      <c r="C39" s="37" t="s">
        <v>93</v>
      </c>
      <c r="D39" s="12" t="n">
        <f aca="false">AVERAGE(원본_CLI_OFF!P11:P13)</f>
        <v>7.863</v>
      </c>
      <c r="E39" s="12" t="n">
        <f aca="false">AVERAGE(참고_CLI_OFF_세트A!P11:P13)</f>
        <v>9.39462333333333</v>
      </c>
      <c r="F39" s="36" t="n">
        <f aca="false">IF(D39=0,"",(E39-D39)/D39)</f>
        <v>0.194788672686422</v>
      </c>
      <c r="G39" s="36" t="n">
        <f aca="false">조건별_비교!K22</f>
        <v>0.0797130018228836</v>
      </c>
    </row>
    <row r="40" customFormat="false" ht="15" hidden="false" customHeight="false" outlineLevel="0" collapsed="false">
      <c r="A40" s="37" t="s">
        <v>60</v>
      </c>
      <c r="B40" s="37" t="s">
        <v>94</v>
      </c>
      <c r="C40" s="37" t="s">
        <v>93</v>
      </c>
      <c r="D40" s="12" t="n">
        <f aca="false">AVERAGE(원본_CLI_OFF!P14:P16)</f>
        <v>7.81261</v>
      </c>
      <c r="E40" s="12" t="n">
        <f aca="false">AVERAGE(참고_CLI_OFF_세트A!P14:P16)</f>
        <v>9.62386333333333</v>
      </c>
      <c r="F40" s="36" t="n">
        <f aca="false">IF(D40=0,"",(E40-D40)/D40)</f>
        <v>0.23183716239942</v>
      </c>
      <c r="G40" s="36" t="n">
        <f aca="false">조건별_비교!K28</f>
        <v>0.094696480006895</v>
      </c>
    </row>
    <row r="41" customFormat="false" ht="15" hidden="false" customHeight="false" outlineLevel="0" collapsed="false">
      <c r="A41" s="37" t="s">
        <v>61</v>
      </c>
      <c r="B41" s="37" t="s">
        <v>94</v>
      </c>
      <c r="C41" s="37" t="s">
        <v>93</v>
      </c>
      <c r="D41" s="12" t="n">
        <f aca="false">AVERAGE(원본_CLI_OFF!P17:P19)</f>
        <v>8.1872</v>
      </c>
      <c r="E41" s="12" t="n">
        <f aca="false">AVERAGE(참고_CLI_OFF_세트A!P17:P19)</f>
        <v>9.37197333333334</v>
      </c>
      <c r="F41" s="36" t="n">
        <f aca="false">IF(D41=0,"",(E41-D41)/D41)</f>
        <v>0.144710442316462</v>
      </c>
      <c r="G41" s="36" t="n">
        <f aca="false">조건별_비교!K34</f>
        <v>0.0604899517946715</v>
      </c>
    </row>
    <row r="42" customFormat="false" ht="15" hidden="false" customHeight="false" outlineLevel="0" collapsed="false">
      <c r="A42" s="37" t="s">
        <v>62</v>
      </c>
      <c r="B42" s="37" t="s">
        <v>94</v>
      </c>
      <c r="C42" s="37" t="s">
        <v>93</v>
      </c>
      <c r="D42" s="12" t="n">
        <f aca="false">AVERAGE(원본_CLI_OFF!P20:P22)</f>
        <v>8.45667</v>
      </c>
      <c r="E42" s="12" t="n">
        <f aca="false">AVERAGE(참고_CLI_OFF_세트A!P20:P22)</f>
        <v>10.2180666666667</v>
      </c>
      <c r="F42" s="36" t="n">
        <f aca="false">IF(D42=0,"",(E42-D42)/D42)</f>
        <v>0.208284900163618</v>
      </c>
      <c r="G42" s="36" t="n">
        <f aca="false">조건별_비교!K42</f>
        <v>-0.0633354105891169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2026-09-01T05:29:28Z</dcterms:created>
  <dc:creator>openpyxl</dc:creator>
  <dc:description/>
  <dc:language>en-US</dc:language>
  <cp:lastModifiedBy/>
  <dcterms:modified xsi:type="dcterms:W3CDTF">2026-09-01T05:29:31Z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