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컬럼설명" sheetId="1" state="visible" r:id="rId3"/>
    <sheet name="전체" sheetId="2" state="visible" r:id="rId4"/>
    <sheet name="케이스별_3회평균" sheetId="3" state="visible" r:id="rId5"/>
    <sheet name="NPU_vs_CPU_비교" sheetId="4" state="visible" r:id="rId6"/>
    <sheet name="차트" sheetId="5" state="visible" r:id="rId7"/>
  </sheets>
  <definedNames>
    <definedName function="false" hidden="true" localSheetId="1" name="_xlnm._FilterDatabase" vbProcedure="false">전체!$A$1:$AY$25</definedName>
    <definedName function="false" hidden="true" localSheetId="2" name="_xlnm._FilterDatabase" vbProcedure="false">케이스별_3회평균!$A$1:$AZ$9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<sst xmlns="http://schemas.openxmlformats.org/spreadsheetml/2006/main" count="716" uniqueCount="157">
  <si>
    <t xml:space="preserve">컬럼명</t>
  </si>
  <si>
    <t xml:space="preserve">설명</t>
  </si>
  <si>
    <t xml:space="preserve">postprocess_engine</t>
  </si>
  <si>
    <r>
      <rPr>
        <sz val="10"/>
        <rFont val="Arial"/>
        <family val="0"/>
        <charset val="1"/>
      </rPr>
      <t xml:space="preserve">Detection </t>
    </r>
    <r>
      <rPr>
        <sz val="10"/>
        <rFont val="Noto Sans CJK SC"/>
        <family val="2"/>
      </rPr>
      <t xml:space="preserve">후처리</t>
    </r>
    <r>
      <rPr>
        <sz val="10"/>
        <rFont val="Arial"/>
        <family val="0"/>
        <charset val="1"/>
      </rPr>
      <t xml:space="preserve">(NMS) </t>
    </r>
    <r>
      <rPr>
        <sz val="10"/>
        <rFont val="Noto Sans CJK SC"/>
        <family val="2"/>
      </rPr>
      <t xml:space="preserve">실행 위치</t>
    </r>
    <r>
      <rPr>
        <sz val="10"/>
        <rFont val="Arial"/>
        <family val="0"/>
        <charset val="1"/>
      </rPr>
      <t xml:space="preserve">. NPU=yolov5xs_wo_spp_nms_core.hef(engine=nn_core/auto, neural core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NMS), CPU=yolov5xs_wo_spp.hef(engine=cpu, </t>
    </r>
    <r>
      <rPr>
        <sz val="10"/>
        <rFont val="Noto Sans CJK SC"/>
        <family val="2"/>
      </rPr>
      <t xml:space="preserve">호스트 </t>
    </r>
    <r>
      <rPr>
        <sz val="10"/>
        <rFont val="Arial"/>
        <family val="0"/>
        <charset val="1"/>
      </rPr>
      <t xml:space="preserve">CPU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NMS)</t>
    </r>
  </si>
  <si>
    <t xml:space="preserve">combo</t>
  </si>
  <si>
    <r>
      <rPr>
        <sz val="10"/>
        <rFont val="Noto Sans CJK SC"/>
        <family val="2"/>
      </rPr>
      <t xml:space="preserve">이번 실행에서 활성화된 모델 조합</t>
    </r>
    <r>
      <rPr>
        <sz val="10"/>
        <rFont val="Arial"/>
        <family val="0"/>
        <charset val="1"/>
      </rPr>
      <t xml:space="preserve">: det / det+seg / det+pose / det+seg+pose (Detection</t>
    </r>
    <r>
      <rPr>
        <sz val="10"/>
        <rFont val="Noto Sans CJK SC"/>
        <family val="2"/>
      </rPr>
      <t xml:space="preserve">은 실험 축이라 항상 켜둠</t>
    </r>
    <r>
      <rPr>
        <sz val="10"/>
        <rFont val="Arial"/>
        <family val="0"/>
        <charset val="1"/>
      </rPr>
      <t xml:space="preserve">)</t>
    </r>
  </si>
  <si>
    <t xml:space="preserve">run_id</t>
  </si>
  <si>
    <r>
      <rPr>
        <sz val="10"/>
        <rFont val="Noto Sans CJK SC"/>
        <family val="2"/>
      </rPr>
      <t xml:space="preserve">실행 순번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스크립트가 크래시 재시도를 하면서 자동 채번 — 중복될 수 있음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조합 구분에는 영향 없음</t>
    </r>
    <r>
      <rPr>
        <sz val="10"/>
        <rFont val="Arial"/>
        <family val="0"/>
        <charset val="1"/>
      </rPr>
      <t xml:space="preserve">)</t>
    </r>
  </si>
  <si>
    <t xml:space="preserve">use_det/use_seg/use_pose</t>
  </si>
  <si>
    <r>
      <rPr>
        <sz val="10"/>
        <rFont val="Noto Sans CJK SC"/>
        <family val="2"/>
      </rPr>
      <t xml:space="preserve">해당 모델 활성화 여부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켜짐</t>
    </r>
    <r>
      <rPr>
        <sz val="10"/>
        <rFont val="Arial"/>
        <family val="0"/>
        <charset val="1"/>
      </rPr>
      <t xml:space="preserve">, 0=</t>
    </r>
    <r>
      <rPr>
        <sz val="10"/>
        <rFont val="Noto Sans CJK SC"/>
        <family val="2"/>
      </rPr>
      <t xml:space="preserve">꺼짐</t>
    </r>
    <r>
      <rPr>
        <sz val="10"/>
        <rFont val="Arial"/>
        <family val="0"/>
        <charset val="1"/>
      </rPr>
      <t xml:space="preserve">)</t>
    </r>
  </si>
  <si>
    <t xml:space="preserve">batch_det/seg/pose</t>
  </si>
  <si>
    <r>
      <rPr>
        <sz val="10"/>
        <rFont val="Noto Sans CJK SC"/>
        <family val="2"/>
      </rPr>
      <t xml:space="preserve">배치 크기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이번 실험은 전부 기본값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고정</t>
    </r>
    <r>
      <rPr>
        <sz val="10"/>
        <rFont val="Arial"/>
        <family val="0"/>
        <charset val="1"/>
      </rPr>
      <t xml:space="preserve">)</t>
    </r>
  </si>
  <si>
    <t xml:space="preserve">threshold_det/seg/pose</t>
  </si>
  <si>
    <r>
      <rPr>
        <sz val="10"/>
        <rFont val="Noto Sans CJK SC"/>
        <family val="2"/>
      </rPr>
      <t xml:space="preserve">스케줄러 </t>
    </r>
    <r>
      <rPr>
        <sz val="10"/>
        <rFont val="Arial"/>
        <family val="0"/>
        <charset val="1"/>
      </rPr>
      <t xml:space="preserve">threshold(</t>
    </r>
    <r>
      <rPr>
        <sz val="10"/>
        <rFont val="Noto Sans CJK SC"/>
        <family val="2"/>
      </rPr>
      <t xml:space="preserve">전부 기본값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고정</t>
    </r>
    <r>
      <rPr>
        <sz val="10"/>
        <rFont val="Arial"/>
        <family val="0"/>
        <charset val="1"/>
      </rPr>
      <t xml:space="preserve">)</t>
    </r>
  </si>
  <si>
    <t xml:space="preserve">timeout_ms</t>
  </si>
  <si>
    <r>
      <rPr>
        <sz val="10"/>
        <rFont val="Noto Sans CJK SC"/>
        <family val="2"/>
      </rPr>
      <t xml:space="preserve">스케줄러 </t>
    </r>
    <r>
      <rPr>
        <sz val="10"/>
        <rFont val="Arial"/>
        <family val="0"/>
        <charset val="1"/>
      </rPr>
      <t xml:space="preserve">timeout(</t>
    </r>
    <r>
      <rPr>
        <sz val="10"/>
        <rFont val="Noto Sans CJK SC"/>
        <family val="2"/>
      </rPr>
      <t xml:space="preserve">전부 기본값 </t>
    </r>
    <r>
      <rPr>
        <sz val="10"/>
        <rFont val="Arial"/>
        <family val="0"/>
        <charset val="1"/>
      </rPr>
      <t xml:space="preserve">0ms</t>
    </r>
    <r>
      <rPr>
        <sz val="10"/>
        <rFont val="Noto Sans CJK SC"/>
        <family val="2"/>
      </rPr>
      <t xml:space="preserve">로 고정</t>
    </r>
    <r>
      <rPr>
        <sz val="10"/>
        <rFont val="Arial"/>
        <family val="0"/>
        <charset val="1"/>
      </rPr>
      <t xml:space="preserve">)</t>
    </r>
  </si>
  <si>
    <t xml:space="preserve">priority_det/seg/pose</t>
  </si>
  <si>
    <r>
      <rPr>
        <sz val="10"/>
        <rFont val="Noto Sans CJK SC"/>
        <family val="2"/>
      </rPr>
      <t xml:space="preserve">스케줄러 </t>
    </r>
    <r>
      <rPr>
        <sz val="10"/>
        <rFont val="Arial"/>
        <family val="0"/>
        <charset val="1"/>
      </rPr>
      <t xml:space="preserve">priority(</t>
    </r>
    <r>
      <rPr>
        <sz val="10"/>
        <rFont val="Noto Sans CJK SC"/>
        <family val="2"/>
      </rPr>
      <t xml:space="preserve">전부 기본값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으로 고정</t>
    </r>
    <r>
      <rPr>
        <sz val="10"/>
        <rFont val="Arial"/>
        <family val="0"/>
        <charset val="1"/>
      </rPr>
      <t xml:space="preserve">)</t>
    </r>
  </si>
  <si>
    <t xml:space="preserve">det/seg/pose_latency_ms</t>
  </si>
  <si>
    <r>
      <rPr>
        <sz val="10"/>
        <rFont val="Noto Sans CJK SC"/>
        <family val="2"/>
      </rPr>
      <t xml:space="preserve">모델별 평균 추론 </t>
    </r>
    <r>
      <rPr>
        <sz val="10"/>
        <rFont val="Arial"/>
        <family val="0"/>
        <charset val="1"/>
      </rPr>
      <t xml:space="preserve">latency(HailoRT vstream write→read </t>
    </r>
    <r>
      <rPr>
        <sz val="10"/>
        <rFont val="Noto Sans CJK SC"/>
        <family val="2"/>
      </rPr>
      <t xml:space="preserve">왕복시간</t>
    </r>
    <r>
      <rPr>
        <sz val="10"/>
        <rFont val="Arial"/>
        <family val="0"/>
        <charset val="1"/>
      </rPr>
      <t xml:space="preserve">, ms). Detection</t>
    </r>
    <r>
      <rPr>
        <sz val="10"/>
        <rFont val="Noto Sans CJK SC"/>
        <family val="2"/>
      </rPr>
      <t xml:space="preserve">의 경우 후처리</t>
    </r>
    <r>
      <rPr>
        <sz val="10"/>
        <rFont val="Arial"/>
        <family val="0"/>
        <charset val="1"/>
      </rPr>
      <t xml:space="preserve">(NMS) </t>
    </r>
    <r>
      <rPr>
        <sz val="10"/>
        <rFont val="Noto Sans CJK SC"/>
        <family val="2"/>
      </rPr>
      <t xml:space="preserve">실행 위치에 따라 이 값에 큰 차이가 남 — </t>
    </r>
    <r>
      <rPr>
        <sz val="10"/>
        <rFont val="Arial"/>
        <family val="0"/>
        <charset val="1"/>
      </rPr>
      <t xml:space="preserve">'NPU_vs_CPU_</t>
    </r>
    <r>
      <rPr>
        <sz val="10"/>
        <rFont val="Noto Sans CJK SC"/>
        <family val="2"/>
      </rPr>
      <t xml:space="preserve">비교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 참고</t>
    </r>
  </si>
  <si>
    <t xml:space="preserve">cpu_percent</t>
  </si>
  <si>
    <r>
      <rPr>
        <sz val="10"/>
        <rFont val="Noto Sans CJK SC"/>
        <family val="2"/>
      </rPr>
      <t xml:space="preserve">실행 구간 전체 호스트 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</rPr>
      <t xml:space="preserve">사용률</t>
    </r>
    <r>
      <rPr>
        <sz val="10"/>
        <rFont val="Arial"/>
        <family val="0"/>
        <charset val="1"/>
      </rPr>
      <t xml:space="preserve">(%) — </t>
    </r>
    <r>
      <rPr>
        <sz val="10"/>
        <rFont val="Noto Sans CJK SC"/>
        <family val="2"/>
      </rPr>
      <t xml:space="preserve">이 실행에서 활성화된 모든 모델 스레드 합산</t>
    </r>
  </si>
  <si>
    <t xml:space="preserve">mem_percent</t>
  </si>
  <si>
    <r>
      <rPr>
        <sz val="10"/>
        <rFont val="Noto Sans CJK SC"/>
        <family val="2"/>
      </rPr>
      <t xml:space="preserve">실행 구간 메모리 사용률</t>
    </r>
    <r>
      <rPr>
        <sz val="10"/>
        <rFont val="Arial"/>
        <family val="0"/>
        <charset val="1"/>
      </rPr>
      <t xml:space="preserve">(%)</t>
    </r>
  </si>
  <si>
    <t xml:space="preserve">voluntary_ctx_switches / nonvoluntary_ctx_switches</t>
  </si>
  <si>
    <r>
      <rPr>
        <sz val="10"/>
        <rFont val="Noto Sans CJK SC"/>
        <family val="2"/>
      </rPr>
      <t xml:space="preserve">컨텍스트 스위치 횟수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자발적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비자발적</t>
    </r>
    <r>
      <rPr>
        <sz val="10"/>
        <rFont val="Arial"/>
        <family val="0"/>
        <charset val="1"/>
      </rPr>
      <t xml:space="preserve">)</t>
    </r>
  </si>
  <si>
    <t xml:space="preserve">npu_percent / switches_per_s / idle_time_pct / avg_fps_* / max_latency_* / activation_*</t>
  </si>
  <si>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 파싱으로 채우는 값들 — 이번 실행에서는 </t>
    </r>
    <r>
      <rPr>
        <sz val="10"/>
        <rFont val="Arial"/>
        <family val="0"/>
        <charset val="1"/>
      </rPr>
      <t xml:space="preserve">HRTT</t>
    </r>
    <r>
      <rPr>
        <sz val="10"/>
        <rFont val="Noto Sans CJK SC"/>
        <family val="2"/>
      </rPr>
      <t xml:space="preserve">를 안 돌려서 전부 </t>
    </r>
    <r>
      <rPr>
        <sz val="10"/>
        <rFont val="Arial"/>
        <family val="0"/>
        <charset val="1"/>
      </rPr>
      <t xml:space="preserve">NaN(</t>
    </r>
    <r>
      <rPr>
        <sz val="10"/>
        <rFont val="Noto Sans CJK SC"/>
        <family val="2"/>
      </rPr>
      <t xml:space="preserve">빈 값</t>
    </r>
    <r>
      <rPr>
        <sz val="10"/>
        <rFont val="Arial"/>
        <family val="0"/>
        <charset val="1"/>
      </rPr>
      <t xml:space="preserve">)</t>
    </r>
  </si>
  <si>
    <t xml:space="preserve">total_time_det/seg/pose_s</t>
  </si>
  <si>
    <r>
      <rPr>
        <sz val="10"/>
        <rFont val="Noto Sans CJK SC"/>
        <family val="2"/>
      </rPr>
      <t xml:space="preserve">모델별 전체 </t>
    </r>
    <r>
      <rPr>
        <sz val="10"/>
        <rFont val="Arial"/>
        <family val="0"/>
        <charset val="1"/>
      </rPr>
      <t xml:space="preserve">673</t>
    </r>
    <r>
      <rPr>
        <sz val="10"/>
        <rFont val="Noto Sans CJK SC"/>
        <family val="2"/>
      </rPr>
      <t xml:space="preserve">장 처리에 걸린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</si>
  <si>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t xml:space="preserve">avg_preprocess_ms_det/seg/pose</t>
  </si>
  <si>
    <r>
      <rPr>
        <sz val="10"/>
        <rFont val="Noto Sans CJK SC"/>
        <family val="2"/>
      </rPr>
      <t xml:space="preserve">장당 평균 전처리</t>
    </r>
    <r>
      <rPr>
        <sz val="10"/>
        <rFont val="Arial"/>
        <family val="0"/>
        <charset val="1"/>
      </rPr>
      <t xml:space="preserve">(imread+letterbox) 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(ms)</t>
    </r>
  </si>
  <si>
    <t xml:space="preserve">postprocess_ms_det/seg/pose</t>
  </si>
  <si>
    <r>
      <rPr>
        <sz val="10"/>
        <rFont val="Noto Sans CJK SC"/>
        <family val="2"/>
      </rPr>
      <t xml:space="preserve">장당 평균 후처리 시간</t>
    </r>
    <r>
      <rPr>
        <sz val="10"/>
        <rFont val="Arial"/>
        <family val="0"/>
        <charset val="1"/>
      </rPr>
      <t xml:space="preserve">(ms). Detection</t>
    </r>
    <r>
      <rPr>
        <sz val="10"/>
        <rFont val="Noto Sans CJK SC"/>
        <family val="2"/>
      </rPr>
      <t xml:space="preserve">은 이미 </t>
    </r>
    <r>
      <rPr>
        <sz val="10"/>
        <rFont val="Arial"/>
        <family val="0"/>
        <charset val="1"/>
      </rPr>
      <t xml:space="preserve">NMS</t>
    </r>
    <r>
      <rPr>
        <sz val="10"/>
        <rFont val="Noto Sans CJK SC"/>
        <family val="2"/>
      </rPr>
      <t xml:space="preserve">가 끝난 </t>
    </r>
    <r>
      <rPr>
        <sz val="10"/>
        <rFont val="Arial"/>
        <family val="0"/>
        <charset val="1"/>
      </rPr>
      <t xml:space="preserve">buffer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파싱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하는 시간이라 </t>
    </r>
    <r>
      <rPr>
        <sz val="10"/>
        <rFont val="Arial"/>
        <family val="0"/>
        <charset val="1"/>
      </rPr>
      <t xml:space="preserve">NPU/CPU </t>
    </r>
    <r>
      <rPr>
        <sz val="10"/>
        <rFont val="Noto Sans CJK SC"/>
        <family val="2"/>
      </rPr>
      <t xml:space="preserve">조건 둘 다 거의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에 가까움 — 실제 </t>
    </r>
    <r>
      <rPr>
        <sz val="10"/>
        <rFont val="Arial"/>
        <family val="0"/>
        <charset val="1"/>
      </rPr>
      <t xml:space="preserve">NMS </t>
    </r>
    <r>
      <rPr>
        <sz val="10"/>
        <rFont val="Noto Sans CJK SC"/>
        <family val="2"/>
      </rPr>
      <t xml:space="preserve">연산 자체의 위치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비용 차이는 </t>
    </r>
    <r>
      <rPr>
        <sz val="10"/>
        <rFont val="Arial"/>
        <family val="0"/>
        <charset val="1"/>
      </rPr>
      <t xml:space="preserve">det_latency_ms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cpu_percent</t>
    </r>
    <r>
      <rPr>
        <sz val="10"/>
        <rFont val="Noto Sans CJK SC"/>
        <family val="2"/>
      </rPr>
      <t xml:space="preserve">에서 드러남</t>
    </r>
  </si>
  <si>
    <t xml:space="preserve">total_time_ms_det/seg/pose</t>
  </si>
  <si>
    <r>
      <rPr>
        <sz val="10"/>
        <rFont val="Noto Sans CJK SC"/>
        <family val="2"/>
      </rPr>
      <t xml:space="preserve">장당 전체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전처리</t>
    </r>
    <r>
      <rPr>
        <sz val="10"/>
        <rFont val="Arial"/>
        <family val="0"/>
        <charset val="1"/>
      </rPr>
      <t xml:space="preserve">+latency+</t>
    </r>
    <r>
      <rPr>
        <sz val="10"/>
        <rFont val="Noto Sans CJK SC"/>
        <family val="2"/>
      </rPr>
      <t xml:space="preserve">후처리</t>
    </r>
    <r>
      <rPr>
        <sz val="10"/>
        <rFont val="Arial"/>
        <family val="0"/>
        <charset val="1"/>
      </rPr>
      <t xml:space="preserve">, ms)</t>
    </r>
  </si>
  <si>
    <r>
      <rPr>
        <sz val="10"/>
        <rFont val="Noto Sans CJK SC"/>
        <family val="2"/>
      </rPr>
      <t xml:space="preserve">케이스별</t>
    </r>
    <r>
      <rPr>
        <sz val="10"/>
        <rFont val="Arial"/>
        <family val="0"/>
        <charset val="1"/>
      </rPr>
      <t xml:space="preserve">_3</t>
    </r>
    <r>
      <rPr>
        <sz val="10"/>
        <rFont val="Noto Sans CJK SC"/>
        <family val="2"/>
      </rPr>
      <t xml:space="preserve">회평균 시트 비고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</si>
  <si>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시트의 원본 컬럼 전부</t>
    </r>
    <r>
      <rPr>
        <sz val="10"/>
        <rFont val="Arial"/>
        <family val="0"/>
        <charset val="1"/>
      </rPr>
      <t xml:space="preserve">(run_id 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, 49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대해 조건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조합별 </t>
    </r>
    <r>
      <rPr>
        <sz val="10"/>
        <rFont val="Arial"/>
        <family val="0"/>
        <charset val="1"/>
      </rPr>
      <t xml:space="preserve">AVERAGEIFS </t>
    </r>
    <r>
      <rPr>
        <sz val="10"/>
        <rFont val="Noto Sans CJK SC"/>
        <family val="2"/>
      </rPr>
      <t xml:space="preserve">평균을 계산함</t>
    </r>
    <r>
      <rPr>
        <sz val="10"/>
        <rFont val="Arial"/>
        <family val="0"/>
        <charset val="1"/>
      </rPr>
      <t xml:space="preserve">. NaN</t>
    </r>
    <r>
      <rPr>
        <sz val="10"/>
        <rFont val="Noto Sans CJK SC"/>
        <family val="2"/>
      </rPr>
      <t xml:space="preserve">만 있는 컬럼이나 조합상 비활성 모델의 컬럼은 </t>
    </r>
    <r>
      <rPr>
        <sz val="10"/>
        <rFont val="Arial"/>
        <family val="0"/>
        <charset val="1"/>
      </rPr>
      <t xml:space="preserve">'-'</t>
    </r>
    <r>
      <rPr>
        <sz val="10"/>
        <rFont val="Noto Sans CJK SC"/>
        <family val="2"/>
      </rPr>
      <t xml:space="preserve">로 표시</t>
    </r>
    <r>
      <rPr>
        <sz val="10"/>
        <rFont val="Arial"/>
        <family val="0"/>
        <charset val="1"/>
      </rPr>
      <t xml:space="preserve">(IFERROR </t>
    </r>
    <r>
      <rPr>
        <sz val="10"/>
        <rFont val="Noto Sans CJK SC"/>
        <family val="2"/>
      </rPr>
      <t xml:space="preserve">처리</t>
    </r>
    <r>
      <rPr>
        <sz val="10"/>
        <rFont val="Arial"/>
        <family val="0"/>
        <charset val="1"/>
      </rPr>
      <t xml:space="preserve">).</t>
    </r>
  </si>
  <si>
    <t xml:space="preserve">use_det</t>
  </si>
  <si>
    <t xml:space="preserve">use_seg</t>
  </si>
  <si>
    <t xml:space="preserve">use_pose</t>
  </si>
  <si>
    <t xml:space="preserve">batch_det</t>
  </si>
  <si>
    <t xml:space="preserve">batch_seg</t>
  </si>
  <si>
    <t xml:space="preserve">batch_pose</t>
  </si>
  <si>
    <t xml:space="preserve">threshold_det</t>
  </si>
  <si>
    <t xml:space="preserve">threshold_seg</t>
  </si>
  <si>
    <t xml:space="preserve">threshold_pose</t>
  </si>
  <si>
    <t xml:space="preserve">priority_det</t>
  </si>
  <si>
    <t xml:space="preserve">priority_seg</t>
  </si>
  <si>
    <t xml:space="preserve">priority_pose</t>
  </si>
  <si>
    <t xml:space="preserve">det_latency_ms</t>
  </si>
  <si>
    <t xml:space="preserve">seg_latency_ms</t>
  </si>
  <si>
    <t xml:space="preserve">pose_latency_ms</t>
  </si>
  <si>
    <t xml:space="preserve">voluntary_ctx_switches</t>
  </si>
  <si>
    <t xml:space="preserve">nonvoluntary_ctx_switches</t>
  </si>
  <si>
    <t xml:space="preserve">npu_percent</t>
  </si>
  <si>
    <t xml:space="preserve">switches_per_s</t>
  </si>
  <si>
    <t xml:space="preserve">idle_time_pct</t>
  </si>
  <si>
    <t xml:space="preserve">run_time_s</t>
  </si>
  <si>
    <t xml:space="preserve">avg_fps_det</t>
  </si>
  <si>
    <t xml:space="preserve">avg_latency_det</t>
  </si>
  <si>
    <t xml:space="preserve">max_latency_det</t>
  </si>
  <si>
    <t xml:space="preserve">activation_det</t>
  </si>
  <si>
    <t xml:space="preserve">avg_fps_seg</t>
  </si>
  <si>
    <t xml:space="preserve">avg_latency_seg</t>
  </si>
  <si>
    <t xml:space="preserve">max_latency_seg</t>
  </si>
  <si>
    <t xml:space="preserve">activation_seg</t>
  </si>
  <si>
    <t xml:space="preserve">avg_fps_pose</t>
  </si>
  <si>
    <t xml:space="preserve">avg_latency_pose</t>
  </si>
  <si>
    <t xml:space="preserve">max_latency_pose</t>
  </si>
  <si>
    <t xml:space="preserve">activation_pose</t>
  </si>
  <si>
    <t xml:space="preserve">total_time_det_s</t>
  </si>
  <si>
    <t xml:space="preserve">total_time_seg_s</t>
  </si>
  <si>
    <t xml:space="preserve">total_time_pose_s</t>
  </si>
  <si>
    <t xml:space="preserve">avg_preprocess_ms_det</t>
  </si>
  <si>
    <t xml:space="preserve">avg_preprocess_ms_seg</t>
  </si>
  <si>
    <t xml:space="preserve">avg_preprocess_ms_pose</t>
  </si>
  <si>
    <t xml:space="preserve">postprocess_ms_det</t>
  </si>
  <si>
    <t xml:space="preserve">postprocess_ms_seg</t>
  </si>
  <si>
    <t xml:space="preserve">postprocess_ms_pose</t>
  </si>
  <si>
    <t xml:space="preserve">total_time_ms_det</t>
  </si>
  <si>
    <t xml:space="preserve">total_time_ms_seg</t>
  </si>
  <si>
    <t xml:space="preserve">total_time_ms_pose</t>
  </si>
  <si>
    <t xml:space="preserve">NPU</t>
  </si>
  <si>
    <t xml:space="preserve">det+seg+pose</t>
  </si>
  <si>
    <t xml:space="preserve">NaN</t>
  </si>
  <si>
    <t xml:space="preserve">det</t>
  </si>
  <si>
    <t xml:space="preserve">det+seg</t>
  </si>
  <si>
    <t xml:space="preserve">det+pose</t>
  </si>
  <si>
    <t xml:space="preserve">CPU</t>
  </si>
  <si>
    <r>
      <rPr>
        <b val="true"/>
        <sz val="10"/>
        <rFont val="Arial"/>
        <family val="0"/>
        <charset val="1"/>
      </rPr>
      <t xml:space="preserve">n(</t>
    </r>
    <r>
      <rPr>
        <b val="true"/>
        <sz val="10"/>
        <rFont val="Noto Sans CJK SC"/>
        <family val="2"/>
      </rPr>
      <t xml:space="preserve">반복횟수</t>
    </r>
    <r>
      <rPr>
        <b val="true"/>
        <sz val="10"/>
        <rFont val="Arial"/>
        <family val="0"/>
        <charset val="1"/>
      </rPr>
      <t xml:space="preserve">)</t>
    </r>
  </si>
  <si>
    <t xml:space="preserve">run_id_avg</t>
  </si>
  <si>
    <t xml:space="preserve">use_det_avg</t>
  </si>
  <si>
    <t xml:space="preserve">use_seg_avg</t>
  </si>
  <si>
    <t xml:space="preserve">use_pose_avg</t>
  </si>
  <si>
    <t xml:space="preserve">batch_det_avg</t>
  </si>
  <si>
    <t xml:space="preserve">batch_seg_avg</t>
  </si>
  <si>
    <t xml:space="preserve">batch_pose_avg</t>
  </si>
  <si>
    <t xml:space="preserve">threshold_det_avg</t>
  </si>
  <si>
    <t xml:space="preserve">threshold_seg_avg</t>
  </si>
  <si>
    <t xml:space="preserve">threshold_pose_avg</t>
  </si>
  <si>
    <t xml:space="preserve">timeout_ms_avg</t>
  </si>
  <si>
    <t xml:space="preserve">priority_det_avg</t>
  </si>
  <si>
    <t xml:space="preserve">priority_seg_avg</t>
  </si>
  <si>
    <t xml:space="preserve">priority_pose_avg</t>
  </si>
  <si>
    <t xml:space="preserve">det_latency_ms_avg</t>
  </si>
  <si>
    <t xml:space="preserve">seg_latency_ms_avg</t>
  </si>
  <si>
    <t xml:space="preserve">pose_latency_ms_avg</t>
  </si>
  <si>
    <t xml:space="preserve">cpu_percent_avg</t>
  </si>
  <si>
    <t xml:space="preserve">mem_percent_avg</t>
  </si>
  <si>
    <t xml:space="preserve">voluntary_ctx_switches_avg</t>
  </si>
  <si>
    <t xml:space="preserve">nonvoluntary_ctx_switches_avg</t>
  </si>
  <si>
    <t xml:space="preserve">npu_percent_avg</t>
  </si>
  <si>
    <t xml:space="preserve">switches_per_s_avg</t>
  </si>
  <si>
    <t xml:space="preserve">idle_time_pct_avg</t>
  </si>
  <si>
    <t xml:space="preserve">run_time_s_avg</t>
  </si>
  <si>
    <t xml:space="preserve">avg_fps_det_avg</t>
  </si>
  <si>
    <t xml:space="preserve">avg_latency_det_avg</t>
  </si>
  <si>
    <t xml:space="preserve">max_latency_det_avg</t>
  </si>
  <si>
    <t xml:space="preserve">activation_det_avg</t>
  </si>
  <si>
    <t xml:space="preserve">avg_fps_seg_avg</t>
  </si>
  <si>
    <t xml:space="preserve">avg_latency_seg_avg</t>
  </si>
  <si>
    <t xml:space="preserve">max_latency_seg_avg</t>
  </si>
  <si>
    <t xml:space="preserve">activation_seg_avg</t>
  </si>
  <si>
    <t xml:space="preserve">avg_fps_pose_avg</t>
  </si>
  <si>
    <t xml:space="preserve">avg_latency_pose_avg</t>
  </si>
  <si>
    <t xml:space="preserve">max_latency_pose_avg</t>
  </si>
  <si>
    <t xml:space="preserve">activation_pose_avg</t>
  </si>
  <si>
    <t xml:space="preserve">total_time_det_s_avg</t>
  </si>
  <si>
    <t xml:space="preserve">total_time_seg_s_avg</t>
  </si>
  <si>
    <t xml:space="preserve">total_time_pose_s_avg</t>
  </si>
  <si>
    <t xml:space="preserve">avg_preprocess_ms_det_avg</t>
  </si>
  <si>
    <t xml:space="preserve">avg_preprocess_ms_seg_avg</t>
  </si>
  <si>
    <t xml:space="preserve">avg_preprocess_ms_pose_avg</t>
  </si>
  <si>
    <t xml:space="preserve">postprocess_ms_det_avg</t>
  </si>
  <si>
    <t xml:space="preserve">postprocess_ms_seg_avg</t>
  </si>
  <si>
    <t xml:space="preserve">postprocess_ms_pose_avg</t>
  </si>
  <si>
    <t xml:space="preserve">total_time_ms_det_avg</t>
  </si>
  <si>
    <t xml:space="preserve">total_time_ms_seg_avg</t>
  </si>
  <si>
    <t xml:space="preserve">total_time_ms_pose_avg</t>
  </si>
  <si>
    <t xml:space="preserve">det_latency_ms (NPU)</t>
  </si>
  <si>
    <t xml:space="preserve">det_latency_ms (CPU)</t>
  </si>
  <si>
    <r>
      <rPr>
        <b val="true"/>
        <sz val="10"/>
        <rFont val="Arial"/>
        <family val="0"/>
        <charset val="1"/>
      </rPr>
      <t xml:space="preserve">det_latency </t>
    </r>
    <r>
      <rPr>
        <b val="true"/>
        <sz val="10"/>
        <rFont val="Noto Sans CJK SC"/>
        <family val="2"/>
      </rPr>
      <t xml:space="preserve">차이</t>
    </r>
    <r>
      <rPr>
        <b val="true"/>
        <sz val="10"/>
        <rFont val="Arial"/>
        <family val="0"/>
        <charset val="1"/>
      </rPr>
      <t xml:space="preserve">(CPU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, %)</t>
    </r>
  </si>
  <si>
    <t xml:space="preserve">cpu_percent (NPU)</t>
  </si>
  <si>
    <t xml:space="preserve">cpu_percent (CPU)</t>
  </si>
  <si>
    <r>
      <rPr>
        <b val="true"/>
        <sz val="10"/>
        <rFont val="Arial"/>
        <family val="0"/>
        <charset val="1"/>
      </rPr>
      <t xml:space="preserve">cpu_percent </t>
    </r>
    <r>
      <rPr>
        <b val="true"/>
        <sz val="10"/>
        <rFont val="Noto Sans CJK SC"/>
        <family val="2"/>
      </rPr>
      <t xml:space="preserve">차이</t>
    </r>
    <r>
      <rPr>
        <b val="true"/>
        <sz val="10"/>
        <rFont val="Arial"/>
        <family val="0"/>
        <charset val="1"/>
      </rPr>
      <t xml:space="preserve">(CPU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, %)</t>
    </r>
  </si>
  <si>
    <t xml:space="preserve">seg_latency_ms (NPU)</t>
  </si>
  <si>
    <t xml:space="preserve">seg_latency_ms (CPU)</t>
  </si>
  <si>
    <r>
      <rPr>
        <b val="true"/>
        <sz val="10"/>
        <rFont val="Arial"/>
        <family val="0"/>
        <charset val="1"/>
      </rPr>
      <t xml:space="preserve">seg_latency </t>
    </r>
    <r>
      <rPr>
        <b val="true"/>
        <sz val="10"/>
        <rFont val="Noto Sans CJK SC"/>
        <family val="2"/>
      </rPr>
      <t xml:space="preserve">차이</t>
    </r>
    <r>
      <rPr>
        <b val="true"/>
        <sz val="10"/>
        <rFont val="Arial"/>
        <family val="0"/>
        <charset val="1"/>
      </rPr>
      <t xml:space="preserve">(CPU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, %)</t>
    </r>
  </si>
  <si>
    <t xml:space="preserve">pose_latency_ms (NPU)</t>
  </si>
  <si>
    <t xml:space="preserve">pose_latency_ms (CPU)</t>
  </si>
  <si>
    <r>
      <rPr>
        <b val="true"/>
        <sz val="10"/>
        <rFont val="Arial"/>
        <family val="0"/>
        <charset val="1"/>
      </rPr>
      <t xml:space="preserve">pose_latency </t>
    </r>
    <r>
      <rPr>
        <b val="true"/>
        <sz val="10"/>
        <rFont val="Noto Sans CJK SC"/>
        <family val="2"/>
      </rPr>
      <t xml:space="preserve">차이</t>
    </r>
    <r>
      <rPr>
        <b val="true"/>
        <sz val="10"/>
        <rFont val="Arial"/>
        <family val="0"/>
        <charset val="1"/>
      </rPr>
      <t xml:space="preserve">(CPU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, %)</t>
    </r>
  </si>
  <si>
    <r>
      <rPr>
        <b val="true"/>
        <sz val="9"/>
        <rFont val="Noto Sans CJK SC"/>
        <family val="2"/>
      </rPr>
      <t xml:space="preserve">참고</t>
    </r>
    <r>
      <rPr>
        <b val="true"/>
        <sz val="9"/>
        <rFont val="Arial"/>
        <family val="0"/>
        <charset val="1"/>
      </rPr>
      <t xml:space="preserve">:</t>
    </r>
  </si>
  <si>
    <r>
      <rPr>
        <i val="true"/>
        <sz val="9"/>
        <rFont val="Arial"/>
        <family val="0"/>
        <charset val="1"/>
      </rPr>
      <t xml:space="preserve">- det_latency_ms</t>
    </r>
    <r>
      <rPr>
        <i val="true"/>
        <sz val="9"/>
        <rFont val="Noto Sans CJK SC"/>
        <family val="2"/>
      </rPr>
      <t xml:space="preserve">는 </t>
    </r>
    <r>
      <rPr>
        <i val="true"/>
        <sz val="9"/>
        <rFont val="Arial"/>
        <family val="0"/>
        <charset val="1"/>
      </rPr>
      <t xml:space="preserve">HailoRT vstream write→read </t>
    </r>
    <r>
      <rPr>
        <i val="true"/>
        <sz val="9"/>
        <rFont val="Noto Sans CJK SC"/>
        <family val="2"/>
      </rPr>
      <t xml:space="preserve">왕복시간</t>
    </r>
    <r>
      <rPr>
        <i val="true"/>
        <sz val="9"/>
        <rFont val="Arial"/>
        <family val="0"/>
        <charset val="1"/>
      </rPr>
      <t xml:space="preserve">(ms). NPU </t>
    </r>
    <r>
      <rPr>
        <i val="true"/>
        <sz val="9"/>
        <rFont val="Noto Sans CJK SC"/>
        <family val="2"/>
      </rPr>
      <t xml:space="preserve">조건은 </t>
    </r>
    <r>
      <rPr>
        <i val="true"/>
        <sz val="9"/>
        <rFont val="Arial"/>
        <family val="0"/>
        <charset val="1"/>
      </rPr>
      <t xml:space="preserve">NMS </t>
    </r>
    <r>
      <rPr>
        <i val="true"/>
        <sz val="9"/>
        <rFont val="Noto Sans CJK SC"/>
        <family val="2"/>
      </rPr>
      <t xml:space="preserve">연산이 </t>
    </r>
    <r>
      <rPr>
        <i val="true"/>
        <sz val="9"/>
        <rFont val="Arial"/>
        <family val="0"/>
        <charset val="1"/>
      </rPr>
      <t xml:space="preserve">neural core </t>
    </r>
    <r>
      <rPr>
        <i val="true"/>
        <sz val="9"/>
        <rFont val="Noto Sans CJK SC"/>
        <family val="2"/>
      </rPr>
      <t xml:space="preserve">컴퓨트 그래프 안에 포함돼 있어 이 시간에 </t>
    </r>
    <r>
      <rPr>
        <i val="true"/>
        <sz val="9"/>
        <rFont val="Arial"/>
        <family val="0"/>
        <charset val="1"/>
      </rPr>
      <t xml:space="preserve">NMS </t>
    </r>
    <r>
      <rPr>
        <i val="true"/>
        <sz val="9"/>
        <rFont val="Noto Sans CJK SC"/>
        <family val="2"/>
      </rPr>
      <t xml:space="preserve">비용이 그대로 반영됨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</si>
  <si>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Arial"/>
        <family val="0"/>
        <charset val="1"/>
      </rPr>
      <t xml:space="preserve">- CPU </t>
    </r>
    <r>
      <rPr>
        <i val="true"/>
        <sz val="9"/>
        <rFont val="Noto Sans CJK SC"/>
        <family val="2"/>
      </rPr>
      <t xml:space="preserve">조건은 칩 쪽은 </t>
    </r>
    <r>
      <rPr>
        <i val="true"/>
        <sz val="9"/>
        <rFont val="Arial"/>
        <family val="0"/>
        <charset val="1"/>
      </rPr>
      <t xml:space="preserve">bbox </t>
    </r>
    <r>
      <rPr>
        <i val="true"/>
        <sz val="9"/>
        <rFont val="Noto Sans CJK SC"/>
        <family val="2"/>
      </rPr>
      <t xml:space="preserve">회귀만 수행하고 </t>
    </r>
    <r>
      <rPr>
        <i val="true"/>
        <sz val="9"/>
        <rFont val="Arial"/>
        <family val="0"/>
        <charset val="1"/>
      </rPr>
      <t xml:space="preserve">NMS(</t>
    </r>
    <r>
      <rPr>
        <i val="true"/>
        <sz val="9"/>
        <rFont val="Noto Sans CJK SC"/>
        <family val="2"/>
      </rPr>
      <t xml:space="preserve">최대 </t>
    </r>
    <r>
      <rPr>
        <i val="true"/>
        <sz val="9"/>
        <rFont val="Arial"/>
        <family val="0"/>
        <charset val="1"/>
      </rPr>
      <t xml:space="preserve">800</t>
    </r>
    <r>
      <rPr>
        <i val="true"/>
        <sz val="9"/>
        <rFont val="Noto Sans CJK SC"/>
        <family val="2"/>
      </rPr>
      <t xml:space="preserve">개</t>
    </r>
    <r>
      <rPr>
        <i val="true"/>
        <sz val="9"/>
        <rFont val="Arial"/>
        <family val="0"/>
        <charset val="1"/>
      </rPr>
      <t xml:space="preserve">x80</t>
    </r>
    <r>
      <rPr>
        <i val="true"/>
        <sz val="9"/>
        <rFont val="Noto Sans CJK SC"/>
        <family val="2"/>
      </rPr>
      <t xml:space="preserve">클래스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는 호스트에서 처리되는 것으로 추정 — </t>
    </r>
    <r>
      <rPr>
        <i val="true"/>
        <sz val="9"/>
        <rFont val="Arial"/>
        <family val="0"/>
        <charset val="1"/>
      </rPr>
      <t xml:space="preserve">det_latency</t>
    </r>
    <r>
      <rPr>
        <i val="true"/>
        <sz val="9"/>
        <rFont val="Noto Sans CJK SC"/>
        <family val="2"/>
      </rPr>
      <t xml:space="preserve">는 낮지만 </t>
    </r>
    <r>
      <rPr>
        <i val="true"/>
        <sz val="9"/>
        <rFont val="Arial"/>
        <family val="0"/>
        <charset val="1"/>
      </rPr>
      <t xml:space="preserve">cpu_percent</t>
    </r>
    <r>
      <rPr>
        <i val="true"/>
        <sz val="9"/>
        <rFont val="Noto Sans CJK SC"/>
        <family val="2"/>
      </rPr>
      <t xml:space="preserve">가 높게 나오는 패턴이 이를 뒷받침함</t>
    </r>
    <r>
      <rPr>
        <i val="true"/>
        <sz val="9"/>
        <rFont val="Arial"/>
        <family val="0"/>
        <charset val="1"/>
      </rPr>
      <t xml:space="preserve">(HRTT </t>
    </r>
    <r>
      <rPr>
        <i val="true"/>
        <sz val="9"/>
        <rFont val="Noto Sans CJK SC"/>
        <family val="2"/>
      </rPr>
      <t xml:space="preserve">트레이스로 재확인은 안 함</t>
    </r>
    <r>
      <rPr>
        <i val="true"/>
        <sz val="9"/>
        <rFont val="Arial"/>
        <family val="0"/>
        <charset val="1"/>
      </rPr>
      <t xml:space="preserve">).</t>
    </r>
  </si>
  <si>
    <r>
      <rPr>
        <i val="true"/>
        <sz val="9"/>
        <rFont val="Arial"/>
        <family val="0"/>
        <charset val="1"/>
      </rPr>
      <t xml:space="preserve">- det+seg </t>
    </r>
    <r>
      <rPr>
        <i val="true"/>
        <sz val="9"/>
        <rFont val="Noto Sans CJK SC"/>
        <family val="2"/>
      </rPr>
      <t xml:space="preserve">조합에서 </t>
    </r>
    <r>
      <rPr>
        <i val="true"/>
        <sz val="9"/>
        <rFont val="Arial"/>
        <family val="0"/>
        <charset val="1"/>
      </rPr>
      <t xml:space="preserve">Segmentation latency</t>
    </r>
    <r>
      <rPr>
        <i val="true"/>
        <sz val="9"/>
        <rFont val="Noto Sans CJK SC"/>
        <family val="2"/>
      </rPr>
      <t xml:space="preserve">는 </t>
    </r>
    <r>
      <rPr>
        <i val="true"/>
        <sz val="9"/>
        <rFont val="Arial"/>
        <family val="0"/>
        <charset val="1"/>
      </rPr>
      <t xml:space="preserve">CPU </t>
    </r>
    <r>
      <rPr>
        <i val="true"/>
        <sz val="9"/>
        <rFont val="Noto Sans CJK SC"/>
        <family val="2"/>
      </rPr>
      <t xml:space="preserve">조건이 더 나쁘고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호스트 </t>
    </r>
    <r>
      <rPr>
        <i val="true"/>
        <sz val="9"/>
        <rFont val="Arial"/>
        <family val="0"/>
        <charset val="1"/>
      </rPr>
      <t xml:space="preserve">CPU </t>
    </r>
    <r>
      <rPr>
        <i val="true"/>
        <sz val="9"/>
        <rFont val="Noto Sans CJK SC"/>
        <family val="2"/>
      </rPr>
      <t xml:space="preserve">경합 추정</t>
    </r>
    <r>
      <rPr>
        <i val="true"/>
        <sz val="9"/>
        <rFont val="Arial"/>
        <family val="0"/>
        <charset val="1"/>
      </rPr>
      <t xml:space="preserve">), det+seg+pose </t>
    </r>
    <r>
      <rPr>
        <i val="true"/>
        <sz val="9"/>
        <rFont val="Noto Sans CJK SC"/>
        <family val="2"/>
      </rPr>
      <t xml:space="preserve">조합에서는 반대로 </t>
    </r>
    <r>
      <rPr>
        <i val="true"/>
        <sz val="9"/>
        <rFont val="Arial"/>
        <family val="0"/>
        <charset val="1"/>
      </rPr>
      <t xml:space="preserve">CPU </t>
    </r>
    <r>
      <rPr>
        <i val="true"/>
        <sz val="9"/>
        <rFont val="Noto Sans CJK SC"/>
        <family val="2"/>
      </rPr>
      <t xml:space="preserve">조건이 더 좋음 — 반복 </t>
    </r>
    <r>
      <rPr>
        <i val="true"/>
        <sz val="9"/>
        <rFont val="Arial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회 기준이라 확정적 결론은 아님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</si>
  <si>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Arial"/>
        <family val="0"/>
        <charset val="1"/>
      </rPr>
      <t xml:space="preserve">- </t>
    </r>
    <r>
      <rPr>
        <i val="true"/>
        <sz val="9"/>
        <rFont val="Noto Sans CJK SC"/>
        <family val="2"/>
      </rPr>
      <t xml:space="preserve">각 지표의 전체 조합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컬럼별 평균은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케이스별</t>
    </r>
    <r>
      <rPr>
        <i val="true"/>
        <sz val="9"/>
        <rFont val="Arial"/>
        <family val="0"/>
        <charset val="1"/>
      </rPr>
      <t xml:space="preserve">_3</t>
    </r>
    <r>
      <rPr>
        <i val="true"/>
        <sz val="9"/>
        <rFont val="Noto Sans CJK SC"/>
        <family val="2"/>
      </rPr>
      <t xml:space="preserve">회평균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Noto Sans CJK SC"/>
        <family val="2"/>
      </rPr>
      <t xml:space="preserve">시트에 전체 시트의 모든 원본 컬럼 기준으로 정리돼 있음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이 시트는 그중 핵심 </t>
    </r>
    <r>
      <rPr>
        <i val="true"/>
        <sz val="9"/>
        <rFont val="Arial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개 지표만 발췌</t>
    </r>
    <r>
      <rPr>
        <i val="true"/>
        <sz val="9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</si>
</sst>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\+0.0%;\-0.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조합별 Detection Latency 비교 (NPU vs CPU, 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차트!B1</c:f>
              <c:strCache>
                <c:ptCount val="1"/>
                <c:pt idx="0">
                  <c:v>det_latency_ms (NPU)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차트!$A$2:$A$5</c:f>
              <c:strCache>
                <c:ptCount val="4"/>
                <c:pt idx="0">
                  <c:v>det</c:v>
                </c:pt>
                <c:pt idx="1">
                  <c:v>det+seg</c:v>
                </c:pt>
                <c:pt idx="2">
                  <c:v>det+pose</c:v>
                </c:pt>
                <c:pt idx="3">
                  <c:v>det+seg+pose</c:v>
                </c:pt>
              </c:strCache>
            </c:strRef>
          </c:cat>
          <c:val>
            <c:numRef>
              <c:f>차트!$B$2:$B$5</c:f>
              <c:numCache>
                <c:formatCode>0.00</c:formatCode>
                <c:ptCount val="4"/>
                <c:pt idx="0">
                  <c:v>152.581333333333</c:v>
                </c:pt>
                <c:pt idx="1">
                  <c:v>531.858666666667</c:v>
                </c:pt>
                <c:pt idx="2">
                  <c:v>480.719333333333</c:v>
                </c:pt>
                <c:pt idx="3">
                  <c:v>695.468333333333</c:v>
                </c:pt>
              </c:numCache>
            </c:numRef>
          </c:val>
        </c:ser>
        <c:ser>
          <c:idx val="1"/>
          <c:order val="1"/>
          <c:tx>
            <c:strRef>
              <c:f>차트!C1</c:f>
              <c:strCache>
                <c:ptCount val="1"/>
                <c:pt idx="0">
                  <c:v>det_latency_ms (CPU)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차트!$A$2:$A$5</c:f>
              <c:strCache>
                <c:ptCount val="4"/>
                <c:pt idx="0">
                  <c:v>det</c:v>
                </c:pt>
                <c:pt idx="1">
                  <c:v>det+seg</c:v>
                </c:pt>
                <c:pt idx="2">
                  <c:v>det+pose</c:v>
                </c:pt>
                <c:pt idx="3">
                  <c:v>det+seg+pose</c:v>
                </c:pt>
              </c:strCache>
            </c:strRef>
          </c:cat>
          <c:val>
            <c:numRef>
              <c:f>차트!$C$2:$C$5</c:f>
              <c:numCache>
                <c:formatCode>0.00</c:formatCode>
                <c:ptCount val="4"/>
                <c:pt idx="0">
                  <c:v>4.61993333333333</c:v>
                </c:pt>
                <c:pt idx="1">
                  <c:v>116.374333333333</c:v>
                </c:pt>
                <c:pt idx="2">
                  <c:v>316.385333333333</c:v>
                </c:pt>
                <c:pt idx="3">
                  <c:v>556.577333333333</c:v>
                </c:pt>
              </c:numCache>
            </c:numRef>
          </c:val>
        </c:ser>
        <c:gapWidth val="150"/>
        <c:overlap val="0"/>
        <c:axId val="23534458"/>
        <c:axId val="20502050"/>
      </c:barChart>
      <c:catAx>
        <c:axId val="235344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조합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02050"/>
        <c:crosses val="autoZero"/>
        <c:auto val="1"/>
        <c:lblAlgn val="ctr"/>
        <c:lblOffset val="100"/>
        <c:noMultiLvlLbl val="0"/>
      </c:catAx>
      <c:valAx>
        <c:axId val="20502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det_latency_ms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344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조합별 호스트 CPU 사용률 비교 (NPU vs CPU,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차트!D1</c:f>
              <c:strCache>
                <c:ptCount val="1"/>
                <c:pt idx="0">
                  <c:v>cpu_percent (NPU)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차트!$A$2:$A$5</c:f>
              <c:strCache>
                <c:ptCount val="4"/>
                <c:pt idx="0">
                  <c:v>det</c:v>
                </c:pt>
                <c:pt idx="1">
                  <c:v>det+seg</c:v>
                </c:pt>
                <c:pt idx="2">
                  <c:v>det+pose</c:v>
                </c:pt>
                <c:pt idx="3">
                  <c:v>det+seg+pose</c:v>
                </c:pt>
              </c:strCache>
            </c:strRef>
          </c:cat>
          <c:val>
            <c:numRef>
              <c:f>차트!$D$2:$D$5</c:f>
              <c:numCache>
                <c:formatCode>0.00</c:formatCode>
                <c:ptCount val="4"/>
                <c:pt idx="0">
                  <c:v>22.7185333333333</c:v>
                </c:pt>
                <c:pt idx="1">
                  <c:v>44.9708666666667</c:v>
                </c:pt>
                <c:pt idx="2">
                  <c:v>30.7054</c:v>
                </c:pt>
                <c:pt idx="3">
                  <c:v>40.1587333333333</c:v>
                </c:pt>
              </c:numCache>
            </c:numRef>
          </c:val>
        </c:ser>
        <c:ser>
          <c:idx val="1"/>
          <c:order val="1"/>
          <c:tx>
            <c:strRef>
              <c:f>차트!E1</c:f>
              <c:strCache>
                <c:ptCount val="1"/>
                <c:pt idx="0">
                  <c:v>cpu_percent (CPU)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차트!$A$2:$A$5</c:f>
              <c:strCache>
                <c:ptCount val="4"/>
                <c:pt idx="0">
                  <c:v>det</c:v>
                </c:pt>
                <c:pt idx="1">
                  <c:v>det+seg</c:v>
                </c:pt>
                <c:pt idx="2">
                  <c:v>det+pose</c:v>
                </c:pt>
                <c:pt idx="3">
                  <c:v>det+seg+pose</c:v>
                </c:pt>
              </c:strCache>
            </c:strRef>
          </c:cat>
          <c:val>
            <c:numRef>
              <c:f>차트!$E$2:$E$5</c:f>
              <c:numCache>
                <c:formatCode>0.00</c:formatCode>
                <c:ptCount val="4"/>
                <c:pt idx="0">
                  <c:v>55.8984666666667</c:v>
                </c:pt>
                <c:pt idx="1">
                  <c:v>38.9052</c:v>
                </c:pt>
                <c:pt idx="2">
                  <c:v>23.7514</c:v>
                </c:pt>
                <c:pt idx="3">
                  <c:v>39.9306333333333</c:v>
                </c:pt>
              </c:numCache>
            </c:numRef>
          </c:val>
        </c:ser>
        <c:gapWidth val="150"/>
        <c:overlap val="0"/>
        <c:axId val="46150060"/>
        <c:axId val="5113480"/>
      </c:barChart>
      <c:catAx>
        <c:axId val="46150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조합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3480"/>
        <c:crosses val="autoZero"/>
        <c:auto val="1"/>
        <c:lblAlgn val="ctr"/>
        <c:lblOffset val="100"/>
        <c:noMultiLvlLbl val="0"/>
      </c:catAx>
      <c:valAx>
        <c:axId val="5113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cpu_percent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1500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4</xdr:col>
      <xdr:colOff>840960</xdr:colOff>
      <xdr:row>25</xdr:row>
      <xdr:rowOff>170640</xdr:rowOff>
    </xdr:to>
    <xdr:graphicFrame>
      <xdr:nvGraphicFramePr>
        <xdr:cNvPr id="1" name="Chart 1"/>
        <xdr:cNvGraphicFramePr/>
      </xdr:nvGraphicFramePr>
      <xdr:xfrm>
        <a:off x="0" y="1333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840960</xdr:colOff>
      <xdr:row>45</xdr:row>
      <xdr:rowOff>170640</xdr:rowOff>
    </xdr:to>
    <xdr:graphicFrame>
      <xdr:nvGraphicFramePr>
        <xdr:cNvPr id="2" name="Chart 2"/>
        <xdr:cNvGraphicFramePr/>
      </xdr:nvGraphicFramePr>
      <xdr:xfrm>
        <a:off x="0" y="5143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2" customFormat="false" ht="15" hidden="false" customHeight="false" outlineLevel="0" collapsed="false">
      <c r="A2" s="1" t="s">
        <v>0</v>
      </c>
      <c r="B2" s="1" t="s">
        <v>1</v>
      </c>
    </row>
    <row r="3" customFormat="false" ht="29.85" hidden="false" customHeight="false" outlineLevel="0" collapsed="false">
      <c r="A3" s="2" t="s">
        <v>2</v>
      </c>
      <c r="B3" s="2" t="s">
        <v>3</v>
      </c>
    </row>
    <row r="4" customFormat="false" ht="15" hidden="false" customHeight="false" outlineLevel="0" collapsed="false">
      <c r="A4" s="2" t="s">
        <v>4</v>
      </c>
      <c r="B4" s="3" t="s">
        <v>5</v>
      </c>
    </row>
    <row r="5" customFormat="false" ht="15" hidden="false" customHeight="false" outlineLevel="0" collapsed="false">
      <c r="A5" s="2" t="s">
        <v>6</v>
      </c>
      <c r="B5" s="3" t="s">
        <v>7</v>
      </c>
    </row>
    <row r="6" customFormat="false" ht="15" hidden="false" customHeight="false" outlineLevel="0" collapsed="false">
      <c r="A6" s="2" t="s">
        <v>8</v>
      </c>
      <c r="B6" s="3" t="s">
        <v>9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 t="s">
        <v>13</v>
      </c>
    </row>
    <row r="9" customFormat="false" ht="15" hidden="false" customHeight="false" outlineLevel="0" collapsed="false">
      <c r="A9" s="2" t="s">
        <v>14</v>
      </c>
      <c r="B9" s="3" t="s">
        <v>15</v>
      </c>
    </row>
    <row r="10" customFormat="false" ht="15" hidden="false" customHeight="false" outlineLevel="0" collapsed="false">
      <c r="A10" s="2" t="s">
        <v>16</v>
      </c>
      <c r="B10" s="3" t="s">
        <v>17</v>
      </c>
    </row>
    <row r="11" customFormat="false" ht="29.85" hidden="false" customHeight="false" outlineLevel="0" collapsed="false">
      <c r="A11" s="2" t="s">
        <v>18</v>
      </c>
      <c r="B11" s="3" t="s">
        <v>19</v>
      </c>
    </row>
    <row r="12" customFormat="false" ht="15" hidden="false" customHeight="false" outlineLevel="0" collapsed="false">
      <c r="A12" s="2" t="s">
        <v>20</v>
      </c>
      <c r="B12" s="3" t="s">
        <v>21</v>
      </c>
    </row>
    <row r="13" customFormat="false" ht="15" hidden="false" customHeight="false" outlineLevel="0" collapsed="false">
      <c r="A13" s="2" t="s">
        <v>22</v>
      </c>
      <c r="B13" s="3" t="s">
        <v>23</v>
      </c>
    </row>
    <row r="14" customFormat="false" ht="23.85" hidden="false" customHeight="false" outlineLevel="0" collapsed="false">
      <c r="A14" s="2" t="s">
        <v>24</v>
      </c>
      <c r="B14" s="3" t="s">
        <v>25</v>
      </c>
    </row>
    <row r="15" customFormat="false" ht="35.05" hidden="false" customHeight="false" outlineLevel="0" collapsed="false">
      <c r="A15" s="2" t="s">
        <v>26</v>
      </c>
      <c r="B15" s="2" t="s">
        <v>27</v>
      </c>
    </row>
    <row r="16" customFormat="false" ht="15" hidden="false" customHeight="false" outlineLevel="0" collapsed="false">
      <c r="A16" s="2" t="s">
        <v>28</v>
      </c>
      <c r="B16" s="3" t="s">
        <v>29</v>
      </c>
    </row>
    <row r="17" customFormat="false" ht="15" hidden="false" customHeight="false" outlineLevel="0" collapsed="false">
      <c r="A17" s="2" t="s">
        <v>30</v>
      </c>
      <c r="B17" s="3" t="s">
        <v>31</v>
      </c>
    </row>
    <row r="18" customFormat="false" ht="29.85" hidden="false" customHeight="false" outlineLevel="0" collapsed="false">
      <c r="A18" s="2" t="s">
        <v>32</v>
      </c>
      <c r="B18" s="3" t="s">
        <v>33</v>
      </c>
    </row>
    <row r="19" customFormat="false" ht="15" hidden="false" customHeight="false" outlineLevel="0" collapsed="false">
      <c r="A19" s="2" t="s">
        <v>34</v>
      </c>
      <c r="B19" s="3" t="s">
        <v>35</v>
      </c>
    </row>
    <row r="20" customFormat="false" ht="29.85" hidden="false" customHeight="false" outlineLevel="0" collapsed="false">
      <c r="A20" s="3" t="s">
        <v>36</v>
      </c>
      <c r="B2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1" min="10" style="0" width="17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17"/>
    <col collapsed="false" customWidth="true" hidden="false" outlineLevel="0" max="18" min="17" style="0" width="18"/>
    <col collapsed="false" customWidth="true" hidden="false" outlineLevel="0" max="19" min="19" style="0" width="19"/>
    <col collapsed="false" customWidth="true" hidden="false" outlineLevel="0" max="21" min="20" style="0" width="15"/>
    <col collapsed="false" customWidth="true" hidden="false" outlineLevel="0" max="23" min="22" style="0" width="20"/>
    <col collapsed="false" customWidth="true" hidden="false" outlineLevel="0" max="24" min="24" style="0" width="15"/>
    <col collapsed="false" customWidth="true" hidden="false" outlineLevel="0" max="25" min="25" style="0" width="18"/>
    <col collapsed="false" customWidth="true" hidden="false" outlineLevel="0" max="26" min="26" style="0" width="17"/>
    <col collapsed="false" customWidth="true" hidden="false" outlineLevel="0" max="27" min="27" style="0" width="14"/>
    <col collapsed="false" customWidth="true" hidden="false" outlineLevel="0" max="28" min="28" style="0" width="15"/>
    <col collapsed="false" customWidth="true" hidden="false" outlineLevel="0" max="30" min="29" style="0" width="19"/>
    <col collapsed="false" customWidth="true" hidden="false" outlineLevel="0" max="31" min="31" style="0" width="18"/>
    <col collapsed="false" customWidth="true" hidden="false" outlineLevel="0" max="32" min="32" style="0" width="15"/>
    <col collapsed="false" customWidth="true" hidden="false" outlineLevel="0" max="34" min="33" style="0" width="19"/>
    <col collapsed="false" customWidth="true" hidden="false" outlineLevel="0" max="35" min="35" style="0" width="18"/>
    <col collapsed="false" customWidth="true" hidden="false" outlineLevel="0" max="36" min="36" style="0" width="16"/>
    <col collapsed="false" customWidth="true" hidden="false" outlineLevel="0" max="38" min="37" style="0" width="20"/>
    <col collapsed="false" customWidth="true" hidden="false" outlineLevel="0" max="39" min="39" style="0" width="19"/>
    <col collapsed="false" customWidth="true" hidden="false" outlineLevel="0" max="51" min="40" style="0" width="20"/>
  </cols>
  <sheetData>
    <row r="1" customFormat="false" ht="23.85" hidden="false" customHeight="false" outlineLevel="0" collapsed="false">
      <c r="A1" s="4" t="s">
        <v>2</v>
      </c>
      <c r="B1" s="4" t="s">
        <v>4</v>
      </c>
      <c r="C1" s="4" t="s">
        <v>6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14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20</v>
      </c>
      <c r="U1" s="4" t="s">
        <v>22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  <c r="AH1" s="4" t="s">
        <v>65</v>
      </c>
      <c r="AI1" s="4" t="s">
        <v>66</v>
      </c>
      <c r="AJ1" s="4" t="s">
        <v>67</v>
      </c>
      <c r="AK1" s="4" t="s">
        <v>68</v>
      </c>
      <c r="AL1" s="4" t="s">
        <v>69</v>
      </c>
      <c r="AM1" s="4" t="s">
        <v>70</v>
      </c>
      <c r="AN1" s="4" t="s">
        <v>71</v>
      </c>
      <c r="AO1" s="4" t="s">
        <v>72</v>
      </c>
      <c r="AP1" s="4" t="s">
        <v>73</v>
      </c>
      <c r="AQ1" s="4" t="s">
        <v>74</v>
      </c>
      <c r="AR1" s="4" t="s">
        <v>75</v>
      </c>
      <c r="AS1" s="4" t="s">
        <v>76</v>
      </c>
      <c r="AT1" s="4" t="s">
        <v>77</v>
      </c>
      <c r="AU1" s="4" t="s">
        <v>78</v>
      </c>
      <c r="AV1" s="4" t="s">
        <v>79</v>
      </c>
      <c r="AW1" s="4" t="s">
        <v>80</v>
      </c>
      <c r="AX1" s="4" t="s">
        <v>81</v>
      </c>
      <c r="AY1" s="4" t="s">
        <v>82</v>
      </c>
    </row>
    <row r="2" customFormat="false" ht="15" hidden="false" customHeight="false" outlineLevel="0" collapsed="false">
      <c r="A2" s="5" t="s">
        <v>83</v>
      </c>
      <c r="B2" s="5" t="s">
        <v>84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700.53</v>
      </c>
      <c r="R2" s="5" t="n">
        <v>719.206</v>
      </c>
      <c r="S2" s="5" t="n">
        <v>694.414</v>
      </c>
      <c r="T2" s="5" t="n">
        <v>40.4738</v>
      </c>
      <c r="U2" s="5" t="n">
        <v>21.2541</v>
      </c>
      <c r="V2" s="5" t="n">
        <v>16416</v>
      </c>
      <c r="W2" s="5" t="n">
        <v>18102</v>
      </c>
      <c r="X2" s="5" t="s">
        <v>85</v>
      </c>
      <c r="Y2" s="5" t="s">
        <v>85</v>
      </c>
      <c r="Z2" s="5" t="s">
        <v>85</v>
      </c>
      <c r="AA2" s="5" t="n">
        <v>52.3039</v>
      </c>
      <c r="AB2" s="5" t="s">
        <v>85</v>
      </c>
      <c r="AC2" s="5" t="s">
        <v>85</v>
      </c>
      <c r="AD2" s="5" t="s">
        <v>85</v>
      </c>
      <c r="AE2" s="5" t="s">
        <v>85</v>
      </c>
      <c r="AF2" s="5" t="s">
        <v>85</v>
      </c>
      <c r="AG2" s="5" t="s">
        <v>85</v>
      </c>
      <c r="AH2" s="5" t="s">
        <v>85</v>
      </c>
      <c r="AI2" s="5" t="s">
        <v>85</v>
      </c>
      <c r="AJ2" s="5" t="s">
        <v>85</v>
      </c>
      <c r="AK2" s="5" t="s">
        <v>85</v>
      </c>
      <c r="AL2" s="5" t="s">
        <v>85</v>
      </c>
      <c r="AM2" s="5" t="s">
        <v>85</v>
      </c>
      <c r="AN2" s="5" t="n">
        <v>52.1791</v>
      </c>
      <c r="AO2" s="5" t="n">
        <v>52.127</v>
      </c>
      <c r="AP2" s="5" t="n">
        <v>52.1424</v>
      </c>
      <c r="AQ2" s="5" t="n">
        <v>5.61794</v>
      </c>
      <c r="AR2" s="5" t="n">
        <v>7.01204</v>
      </c>
      <c r="AS2" s="5" t="n">
        <v>7.14797</v>
      </c>
      <c r="AT2" s="5" t="n">
        <v>0.0107179</v>
      </c>
      <c r="AU2" s="5" t="n">
        <v>39.3374</v>
      </c>
      <c r="AV2" s="5" t="n">
        <v>0.176184</v>
      </c>
      <c r="AW2" s="5" t="n">
        <v>706.159</v>
      </c>
      <c r="AX2" s="5" t="n">
        <v>765.555</v>
      </c>
      <c r="AY2" s="5" t="n">
        <v>701.738</v>
      </c>
    </row>
    <row r="3" customFormat="false" ht="15" hidden="false" customHeight="false" outlineLevel="0" collapsed="false">
      <c r="A3" s="5" t="s">
        <v>83</v>
      </c>
      <c r="B3" s="5" t="s">
        <v>84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693.395</v>
      </c>
      <c r="R3" s="5" t="n">
        <v>715.697</v>
      </c>
      <c r="S3" s="5" t="n">
        <v>687.962</v>
      </c>
      <c r="T3" s="5" t="n">
        <v>39.8691</v>
      </c>
      <c r="U3" s="5" t="n">
        <v>21.1279</v>
      </c>
      <c r="V3" s="5" t="n">
        <v>14323</v>
      </c>
      <c r="W3" s="5" t="n">
        <v>13050</v>
      </c>
      <c r="X3" s="5" t="s">
        <v>85</v>
      </c>
      <c r="Y3" s="5" t="s">
        <v>85</v>
      </c>
      <c r="Z3" s="5" t="s">
        <v>85</v>
      </c>
      <c r="AA3" s="5" t="n">
        <v>51.8244</v>
      </c>
      <c r="AB3" s="5" t="s">
        <v>85</v>
      </c>
      <c r="AC3" s="5" t="s">
        <v>85</v>
      </c>
      <c r="AD3" s="5" t="s">
        <v>85</v>
      </c>
      <c r="AE3" s="5" t="s">
        <v>85</v>
      </c>
      <c r="AF3" s="5" t="s">
        <v>85</v>
      </c>
      <c r="AG3" s="5" t="s">
        <v>85</v>
      </c>
      <c r="AH3" s="5" t="s">
        <v>85</v>
      </c>
      <c r="AI3" s="5" t="s">
        <v>85</v>
      </c>
      <c r="AJ3" s="5" t="s">
        <v>85</v>
      </c>
      <c r="AK3" s="5" t="s">
        <v>85</v>
      </c>
      <c r="AL3" s="5" t="s">
        <v>85</v>
      </c>
      <c r="AM3" s="5" t="s">
        <v>85</v>
      </c>
      <c r="AN3" s="5" t="n">
        <v>51.6243</v>
      </c>
      <c r="AO3" s="5" t="n">
        <v>51.6503</v>
      </c>
      <c r="AP3" s="5" t="n">
        <v>51.6657</v>
      </c>
      <c r="AQ3" s="5" t="n">
        <v>5.4798</v>
      </c>
      <c r="AR3" s="5" t="n">
        <v>5.04382</v>
      </c>
      <c r="AS3" s="5" t="n">
        <v>7.0896</v>
      </c>
      <c r="AT3" s="5" t="n">
        <v>0.0104081</v>
      </c>
      <c r="AU3" s="5" t="n">
        <v>38.9295</v>
      </c>
      <c r="AV3" s="5" t="n">
        <v>0.182778</v>
      </c>
      <c r="AW3" s="5" t="n">
        <v>698.885</v>
      </c>
      <c r="AX3" s="5" t="n">
        <v>759.67</v>
      </c>
      <c r="AY3" s="5" t="n">
        <v>695.235</v>
      </c>
    </row>
    <row r="4" customFormat="false" ht="15" hidden="false" customHeight="false" outlineLevel="0" collapsed="false">
      <c r="A4" s="5" t="s">
        <v>83</v>
      </c>
      <c r="B4" s="5" t="s">
        <v>86</v>
      </c>
      <c r="C4" s="5" t="n">
        <v>2</v>
      </c>
      <c r="D4" s="5" t="n">
        <v>1</v>
      </c>
      <c r="E4" s="5" t="n">
        <v>0</v>
      </c>
      <c r="F4" s="5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152.874</v>
      </c>
      <c r="R4" s="5" t="s">
        <v>85</v>
      </c>
      <c r="S4" s="5" t="s">
        <v>85</v>
      </c>
      <c r="T4" s="5" t="n">
        <v>22.0357</v>
      </c>
      <c r="U4" s="5" t="n">
        <v>20.2283</v>
      </c>
      <c r="V4" s="5" t="n">
        <v>1338</v>
      </c>
      <c r="W4" s="5" t="n">
        <v>665</v>
      </c>
      <c r="X4" s="5" t="s">
        <v>85</v>
      </c>
      <c r="Y4" s="5" t="s">
        <v>85</v>
      </c>
      <c r="Z4" s="5" t="s">
        <v>85</v>
      </c>
      <c r="AA4" s="5" t="n">
        <v>9.62956</v>
      </c>
      <c r="AB4" s="5" t="s">
        <v>85</v>
      </c>
      <c r="AC4" s="5" t="s">
        <v>85</v>
      </c>
      <c r="AD4" s="5" t="s">
        <v>85</v>
      </c>
      <c r="AE4" s="5" t="s">
        <v>85</v>
      </c>
      <c r="AF4" s="5" t="s">
        <v>85</v>
      </c>
      <c r="AG4" s="5" t="s">
        <v>85</v>
      </c>
      <c r="AH4" s="5" t="s">
        <v>85</v>
      </c>
      <c r="AI4" s="5" t="s">
        <v>85</v>
      </c>
      <c r="AJ4" s="5" t="s">
        <v>85</v>
      </c>
      <c r="AK4" s="5" t="s">
        <v>85</v>
      </c>
      <c r="AL4" s="5" t="s">
        <v>85</v>
      </c>
      <c r="AM4" s="5" t="s">
        <v>85</v>
      </c>
      <c r="AN4" s="5" t="n">
        <v>9.61719</v>
      </c>
      <c r="AO4" s="5" t="s">
        <v>85</v>
      </c>
      <c r="AP4" s="5" t="s">
        <v>85</v>
      </c>
      <c r="AQ4" s="5" t="n">
        <v>4.92733</v>
      </c>
      <c r="AR4" s="5" t="s">
        <v>85</v>
      </c>
      <c r="AS4" s="5" t="s">
        <v>85</v>
      </c>
      <c r="AT4" s="5" t="n">
        <v>0.00945256</v>
      </c>
      <c r="AU4" s="5" t="s">
        <v>85</v>
      </c>
      <c r="AV4" s="5" t="s">
        <v>85</v>
      </c>
      <c r="AW4" s="5" t="n">
        <v>157.811</v>
      </c>
      <c r="AX4" s="5" t="s">
        <v>85</v>
      </c>
      <c r="AY4" s="5" t="s">
        <v>85</v>
      </c>
    </row>
    <row r="5" customFormat="false" ht="15" hidden="false" customHeight="false" outlineLevel="0" collapsed="false">
      <c r="A5" s="5" t="s">
        <v>83</v>
      </c>
      <c r="B5" s="5" t="s">
        <v>86</v>
      </c>
      <c r="C5" s="5" t="n">
        <v>3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152.51</v>
      </c>
      <c r="R5" s="5" t="s">
        <v>85</v>
      </c>
      <c r="S5" s="5" t="s">
        <v>85</v>
      </c>
      <c r="T5" s="5" t="n">
        <v>22.7201</v>
      </c>
      <c r="U5" s="5" t="n">
        <v>20.0856</v>
      </c>
      <c r="V5" s="5" t="n">
        <v>1336</v>
      </c>
      <c r="W5" s="5" t="n">
        <v>616</v>
      </c>
      <c r="X5" s="5" t="s">
        <v>85</v>
      </c>
      <c r="Y5" s="5" t="s">
        <v>85</v>
      </c>
      <c r="Z5" s="5" t="s">
        <v>85</v>
      </c>
      <c r="AA5" s="5" t="n">
        <v>9.61753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n">
        <v>9.60528</v>
      </c>
      <c r="AO5" s="5" t="s">
        <v>85</v>
      </c>
      <c r="AP5" s="5" t="s">
        <v>85</v>
      </c>
      <c r="AQ5" s="5" t="n">
        <v>5.12194</v>
      </c>
      <c r="AR5" s="5" t="s">
        <v>85</v>
      </c>
      <c r="AS5" s="5" t="s">
        <v>85</v>
      </c>
      <c r="AT5" s="5" t="n">
        <v>0.00935788</v>
      </c>
      <c r="AU5" s="5" t="s">
        <v>85</v>
      </c>
      <c r="AV5" s="5" t="s">
        <v>85</v>
      </c>
      <c r="AW5" s="5" t="n">
        <v>157.642</v>
      </c>
      <c r="AX5" s="5" t="s">
        <v>85</v>
      </c>
      <c r="AY5" s="5" t="s">
        <v>85</v>
      </c>
    </row>
    <row r="6" customFormat="false" ht="15" hidden="false" customHeight="false" outlineLevel="0" collapsed="false">
      <c r="A6" s="5" t="s">
        <v>83</v>
      </c>
      <c r="B6" s="5" t="s">
        <v>86</v>
      </c>
      <c r="C6" s="5" t="n">
        <v>4</v>
      </c>
      <c r="D6" s="5" t="n">
        <v>1</v>
      </c>
      <c r="E6" s="5" t="n">
        <v>0</v>
      </c>
      <c r="F6" s="5" t="n">
        <v>0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152.36</v>
      </c>
      <c r="R6" s="5" t="s">
        <v>85</v>
      </c>
      <c r="S6" s="5" t="s">
        <v>85</v>
      </c>
      <c r="T6" s="5" t="n">
        <v>23.3998</v>
      </c>
      <c r="U6" s="5" t="n">
        <v>20.2006</v>
      </c>
      <c r="V6" s="5" t="n">
        <v>1337</v>
      </c>
      <c r="W6" s="5" t="n">
        <v>956</v>
      </c>
      <c r="X6" s="5" t="s">
        <v>85</v>
      </c>
      <c r="Y6" s="5" t="s">
        <v>85</v>
      </c>
      <c r="Z6" s="5" t="s">
        <v>85</v>
      </c>
      <c r="AA6" s="5" t="n">
        <v>9.62235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n">
        <v>9.61039</v>
      </c>
      <c r="AO6" s="5" t="s">
        <v>85</v>
      </c>
      <c r="AP6" s="5" t="s">
        <v>85</v>
      </c>
      <c r="AQ6" s="5" t="n">
        <v>5.39511</v>
      </c>
      <c r="AR6" s="5" t="s">
        <v>85</v>
      </c>
      <c r="AS6" s="5" t="s">
        <v>85</v>
      </c>
      <c r="AT6" s="5" t="n">
        <v>0.0106196</v>
      </c>
      <c r="AU6" s="5" t="s">
        <v>85</v>
      </c>
      <c r="AV6" s="5" t="s">
        <v>85</v>
      </c>
      <c r="AW6" s="5" t="n">
        <v>157.766</v>
      </c>
      <c r="AX6" s="5" t="s">
        <v>85</v>
      </c>
      <c r="AY6" s="5" t="s">
        <v>85</v>
      </c>
    </row>
    <row r="7" customFormat="false" ht="15" hidden="false" customHeight="false" outlineLevel="0" collapsed="false">
      <c r="A7" s="5" t="s">
        <v>83</v>
      </c>
      <c r="B7" s="5" t="s">
        <v>87</v>
      </c>
      <c r="C7" s="5" t="n">
        <v>5</v>
      </c>
      <c r="D7" s="5" t="n">
        <v>1</v>
      </c>
      <c r="E7" s="5" t="n">
        <v>1</v>
      </c>
      <c r="F7" s="5" t="n">
        <v>0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531.791</v>
      </c>
      <c r="R7" s="5" t="n">
        <v>576.166</v>
      </c>
      <c r="S7" s="5" t="s">
        <v>85</v>
      </c>
      <c r="T7" s="5" t="n">
        <v>45.0773</v>
      </c>
      <c r="U7" s="5" t="n">
        <v>20.6432</v>
      </c>
      <c r="V7" s="5" t="n">
        <v>8226</v>
      </c>
      <c r="W7" s="5" t="n">
        <v>5435</v>
      </c>
      <c r="X7" s="5" t="s">
        <v>85</v>
      </c>
      <c r="Y7" s="5" t="s">
        <v>85</v>
      </c>
      <c r="Z7" s="5" t="s">
        <v>85</v>
      </c>
      <c r="AA7" s="5" t="n">
        <v>39.6755</v>
      </c>
      <c r="AB7" s="5" t="s">
        <v>85</v>
      </c>
      <c r="AC7" s="5" t="s">
        <v>85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85</v>
      </c>
      <c r="AN7" s="5" t="n">
        <v>39.5054</v>
      </c>
      <c r="AO7" s="5" t="n">
        <v>39.5041</v>
      </c>
      <c r="AP7" s="5" t="s">
        <v>85</v>
      </c>
      <c r="AQ7" s="5" t="n">
        <v>5.73483</v>
      </c>
      <c r="AR7" s="5" t="n">
        <v>5.26298</v>
      </c>
      <c r="AS7" s="5" t="s">
        <v>85</v>
      </c>
      <c r="AT7" s="5" t="n">
        <v>0.0103957</v>
      </c>
      <c r="AU7" s="5" t="n">
        <v>37.2736</v>
      </c>
      <c r="AV7" s="5" t="s">
        <v>85</v>
      </c>
      <c r="AW7" s="5" t="n">
        <v>537.536</v>
      </c>
      <c r="AX7" s="5" t="n">
        <v>618.702</v>
      </c>
      <c r="AY7" s="5" t="s">
        <v>85</v>
      </c>
    </row>
    <row r="8" customFormat="false" ht="15" hidden="false" customHeight="false" outlineLevel="0" collapsed="false">
      <c r="A8" s="5" t="s">
        <v>83</v>
      </c>
      <c r="B8" s="5" t="s">
        <v>87</v>
      </c>
      <c r="C8" s="5" t="n">
        <v>6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532.628</v>
      </c>
      <c r="R8" s="5" t="n">
        <v>576.737</v>
      </c>
      <c r="S8" s="5" t="s">
        <v>85</v>
      </c>
      <c r="T8" s="5" t="n">
        <v>44.8626</v>
      </c>
      <c r="U8" s="5" t="n">
        <v>20.4205</v>
      </c>
      <c r="V8" s="5" t="n">
        <v>8218</v>
      </c>
      <c r="W8" s="5" t="n">
        <v>5161</v>
      </c>
      <c r="X8" s="5" t="s">
        <v>85</v>
      </c>
      <c r="Y8" s="5" t="s">
        <v>85</v>
      </c>
      <c r="Z8" s="5" t="s">
        <v>85</v>
      </c>
      <c r="AA8" s="5" t="n">
        <v>39.8025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n">
        <v>39.5786</v>
      </c>
      <c r="AO8" s="5" t="n">
        <v>39.6297</v>
      </c>
      <c r="AP8" s="5" t="s">
        <v>85</v>
      </c>
      <c r="AQ8" s="5" t="n">
        <v>5.74937</v>
      </c>
      <c r="AR8" s="5" t="n">
        <v>5.20474</v>
      </c>
      <c r="AS8" s="5" t="s">
        <v>85</v>
      </c>
      <c r="AT8" s="5" t="n">
        <v>0.0107487</v>
      </c>
      <c r="AU8" s="5" t="n">
        <v>37.1788</v>
      </c>
      <c r="AV8" s="5" t="s">
        <v>85</v>
      </c>
      <c r="AW8" s="5" t="n">
        <v>538.388</v>
      </c>
      <c r="AX8" s="5" t="n">
        <v>619.12</v>
      </c>
      <c r="AY8" s="5" t="s">
        <v>85</v>
      </c>
    </row>
    <row r="9" customFormat="false" ht="15" hidden="false" customHeight="false" outlineLevel="0" collapsed="false">
      <c r="A9" s="5" t="s">
        <v>83</v>
      </c>
      <c r="B9" s="5" t="s">
        <v>87</v>
      </c>
      <c r="C9" s="5" t="n">
        <v>7</v>
      </c>
      <c r="D9" s="5" t="n">
        <v>1</v>
      </c>
      <c r="E9" s="5" t="n">
        <v>1</v>
      </c>
      <c r="F9" s="5" t="n">
        <v>0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531.157</v>
      </c>
      <c r="R9" s="5" t="n">
        <v>574.593</v>
      </c>
      <c r="S9" s="5" t="s">
        <v>85</v>
      </c>
      <c r="T9" s="5" t="n">
        <v>44.9727</v>
      </c>
      <c r="U9" s="5" t="n">
        <v>20.6477</v>
      </c>
      <c r="V9" s="5" t="n">
        <v>8261</v>
      </c>
      <c r="W9" s="5" t="n">
        <v>5650</v>
      </c>
      <c r="X9" s="5" t="s">
        <v>85</v>
      </c>
      <c r="Y9" s="5" t="s">
        <v>85</v>
      </c>
      <c r="Z9" s="5" t="s">
        <v>85</v>
      </c>
      <c r="AA9" s="5" t="n">
        <v>39.6307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n">
        <v>39.4774</v>
      </c>
      <c r="AO9" s="5" t="n">
        <v>39.4596</v>
      </c>
      <c r="AP9" s="5" t="s">
        <v>85</v>
      </c>
      <c r="AQ9" s="5" t="n">
        <v>5.73859</v>
      </c>
      <c r="AR9" s="5" t="n">
        <v>5.21411</v>
      </c>
      <c r="AS9" s="5" t="s">
        <v>85</v>
      </c>
      <c r="AT9" s="5" t="n">
        <v>0.0131393</v>
      </c>
      <c r="AU9" s="5" t="n">
        <v>37.0732</v>
      </c>
      <c r="AV9" s="5" t="s">
        <v>85</v>
      </c>
      <c r="AW9" s="5" t="n">
        <v>536.909</v>
      </c>
      <c r="AX9" s="5" t="n">
        <v>616.881</v>
      </c>
      <c r="AY9" s="5" t="s">
        <v>85</v>
      </c>
    </row>
    <row r="10" customFormat="false" ht="15" hidden="false" customHeight="false" outlineLevel="0" collapsed="false">
      <c r="A10" s="5" t="s">
        <v>83</v>
      </c>
      <c r="B10" s="5" t="s">
        <v>88</v>
      </c>
      <c r="C10" s="5" t="n">
        <v>8</v>
      </c>
      <c r="D10" s="5" t="n">
        <v>1</v>
      </c>
      <c r="E10" s="5" t="n">
        <v>0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480.101</v>
      </c>
      <c r="R10" s="5" t="s">
        <v>85</v>
      </c>
      <c r="S10" s="5" t="n">
        <v>473.237</v>
      </c>
      <c r="T10" s="5" t="n">
        <v>30.5518</v>
      </c>
      <c r="U10" s="5" t="n">
        <v>20.0641</v>
      </c>
      <c r="V10" s="5" t="n">
        <v>7330</v>
      </c>
      <c r="W10" s="5" t="n">
        <v>5390</v>
      </c>
      <c r="X10" s="5" t="s">
        <v>85</v>
      </c>
      <c r="Y10" s="5" t="s">
        <v>85</v>
      </c>
      <c r="Z10" s="5" t="s">
        <v>85</v>
      </c>
      <c r="AA10" s="5" t="n">
        <v>35.5909</v>
      </c>
      <c r="AB10" s="5" t="s">
        <v>85</v>
      </c>
      <c r="AC10" s="5" t="s">
        <v>85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85</v>
      </c>
      <c r="AN10" s="5" t="n">
        <v>35.5586</v>
      </c>
      <c r="AO10" s="5" t="s">
        <v>85</v>
      </c>
      <c r="AP10" s="5" t="n">
        <v>35.5726</v>
      </c>
      <c r="AQ10" s="5" t="n">
        <v>4.95342</v>
      </c>
      <c r="AR10" s="5" t="s">
        <v>85</v>
      </c>
      <c r="AS10" s="5" t="n">
        <v>5.80592</v>
      </c>
      <c r="AT10" s="5" t="n">
        <v>0.0093216</v>
      </c>
      <c r="AU10" s="5" t="s">
        <v>85</v>
      </c>
      <c r="AV10" s="5" t="n">
        <v>0.15245</v>
      </c>
      <c r="AW10" s="5" t="n">
        <v>485.063</v>
      </c>
      <c r="AX10" s="5" t="s">
        <v>85</v>
      </c>
      <c r="AY10" s="5" t="n">
        <v>479.195</v>
      </c>
    </row>
    <row r="11" customFormat="false" ht="15" hidden="false" customHeight="false" outlineLevel="0" collapsed="false">
      <c r="A11" s="5" t="s">
        <v>83</v>
      </c>
      <c r="B11" s="5" t="s">
        <v>88</v>
      </c>
      <c r="C11" s="5" t="n">
        <v>9</v>
      </c>
      <c r="D11" s="5" t="n">
        <v>1</v>
      </c>
      <c r="E11" s="5" t="n">
        <v>0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480.97</v>
      </c>
      <c r="R11" s="5" t="s">
        <v>85</v>
      </c>
      <c r="S11" s="5" t="n">
        <v>474.497</v>
      </c>
      <c r="T11" s="5" t="n">
        <v>30.6406</v>
      </c>
      <c r="U11" s="5" t="n">
        <v>20.168</v>
      </c>
      <c r="V11" s="5" t="n">
        <v>7289</v>
      </c>
      <c r="W11" s="5" t="n">
        <v>4386</v>
      </c>
      <c r="X11" s="5" t="s">
        <v>85</v>
      </c>
      <c r="Y11" s="5" t="s">
        <v>85</v>
      </c>
      <c r="Z11" s="5" t="s">
        <v>85</v>
      </c>
      <c r="AA11" s="5" t="n">
        <v>35.6539</v>
      </c>
      <c r="AB11" s="5" t="s">
        <v>85</v>
      </c>
      <c r="AC11" s="5" t="s">
        <v>85</v>
      </c>
      <c r="AD11" s="5" t="s">
        <v>85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85</v>
      </c>
      <c r="AN11" s="5" t="n">
        <v>35.6223</v>
      </c>
      <c r="AO11" s="5" t="s">
        <v>85</v>
      </c>
      <c r="AP11" s="5" t="n">
        <v>35.6406</v>
      </c>
      <c r="AQ11" s="5" t="n">
        <v>4.9713</v>
      </c>
      <c r="AR11" s="5" t="s">
        <v>85</v>
      </c>
      <c r="AS11" s="5" t="n">
        <v>5.78089</v>
      </c>
      <c r="AT11" s="5" t="n">
        <v>0.00919101</v>
      </c>
      <c r="AU11" s="5" t="s">
        <v>85</v>
      </c>
      <c r="AV11" s="5" t="n">
        <v>0.157095</v>
      </c>
      <c r="AW11" s="5" t="n">
        <v>485.951</v>
      </c>
      <c r="AX11" s="5" t="s">
        <v>85</v>
      </c>
      <c r="AY11" s="5" t="n">
        <v>480.435</v>
      </c>
    </row>
    <row r="12" customFormat="false" ht="15" hidden="false" customHeight="false" outlineLevel="0" collapsed="false">
      <c r="A12" s="5" t="s">
        <v>83</v>
      </c>
      <c r="B12" s="5" t="s">
        <v>88</v>
      </c>
      <c r="C12" s="5" t="n">
        <v>10</v>
      </c>
      <c r="D12" s="5" t="n">
        <v>1</v>
      </c>
      <c r="E12" s="5" t="n">
        <v>0</v>
      </c>
      <c r="F12" s="5" t="n">
        <v>1</v>
      </c>
      <c r="G12" s="5" t="n">
        <v>1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481.087</v>
      </c>
      <c r="R12" s="5" t="s">
        <v>85</v>
      </c>
      <c r="S12" s="5" t="n">
        <v>473.849</v>
      </c>
      <c r="T12" s="5" t="n">
        <v>30.9238</v>
      </c>
      <c r="U12" s="5" t="n">
        <v>20.1486</v>
      </c>
      <c r="V12" s="5" t="n">
        <v>7414</v>
      </c>
      <c r="W12" s="5" t="n">
        <v>5662</v>
      </c>
      <c r="X12" s="5" t="s">
        <v>85</v>
      </c>
      <c r="Y12" s="5" t="s">
        <v>85</v>
      </c>
      <c r="Z12" s="5" t="s">
        <v>85</v>
      </c>
      <c r="AA12" s="5" t="n">
        <v>35.6388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n">
        <v>35.625</v>
      </c>
      <c r="AO12" s="5" t="s">
        <v>85</v>
      </c>
      <c r="AP12" s="5" t="n">
        <v>35.591</v>
      </c>
      <c r="AQ12" s="5" t="n">
        <v>4.98116</v>
      </c>
      <c r="AR12" s="5" t="s">
        <v>85</v>
      </c>
      <c r="AS12" s="5" t="n">
        <v>5.81864</v>
      </c>
      <c r="AT12" s="5" t="n">
        <v>0.00894977</v>
      </c>
      <c r="AU12" s="5" t="s">
        <v>85</v>
      </c>
      <c r="AV12" s="5" t="n">
        <v>0.163553</v>
      </c>
      <c r="AW12" s="5" t="n">
        <v>486.077</v>
      </c>
      <c r="AX12" s="5" t="s">
        <v>85</v>
      </c>
      <c r="AY12" s="5" t="n">
        <v>479.832</v>
      </c>
    </row>
    <row r="13" customFormat="false" ht="15" hidden="false" customHeight="false" outlineLevel="0" collapsed="false">
      <c r="A13" s="5" t="s">
        <v>83</v>
      </c>
      <c r="B13" s="5" t="s">
        <v>84</v>
      </c>
      <c r="C13" s="5" t="n">
        <v>11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692.48</v>
      </c>
      <c r="R13" s="5" t="n">
        <v>713.838</v>
      </c>
      <c r="S13" s="5" t="n">
        <v>686.507</v>
      </c>
      <c r="T13" s="5" t="n">
        <v>40.1333</v>
      </c>
      <c r="U13" s="5" t="n">
        <v>20.8466</v>
      </c>
      <c r="V13" s="5" t="n">
        <v>14187</v>
      </c>
      <c r="W13" s="5" t="n">
        <v>11383</v>
      </c>
      <c r="X13" s="5" t="s">
        <v>85</v>
      </c>
      <c r="Y13" s="5" t="s">
        <v>85</v>
      </c>
      <c r="Z13" s="5" t="s">
        <v>85</v>
      </c>
      <c r="AA13" s="5" t="n">
        <v>51.7034</v>
      </c>
      <c r="AB13" s="5" t="s">
        <v>85</v>
      </c>
      <c r="AC13" s="5" t="s">
        <v>85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85</v>
      </c>
      <c r="AN13" s="5" t="n">
        <v>51.5781</v>
      </c>
      <c r="AO13" s="5" t="n">
        <v>51.5299</v>
      </c>
      <c r="AP13" s="5" t="n">
        <v>51.5427</v>
      </c>
      <c r="AQ13" s="5" t="n">
        <v>5.61465</v>
      </c>
      <c r="AR13" s="5" t="n">
        <v>5.05005</v>
      </c>
      <c r="AS13" s="5" t="n">
        <v>7.06818</v>
      </c>
      <c r="AT13" s="5" t="n">
        <v>0.0103072</v>
      </c>
      <c r="AU13" s="5" t="n">
        <v>38.9056</v>
      </c>
      <c r="AV13" s="5" t="n">
        <v>0.162872</v>
      </c>
      <c r="AW13" s="5" t="n">
        <v>698.105</v>
      </c>
      <c r="AX13" s="5" t="n">
        <v>757.794</v>
      </c>
      <c r="AY13" s="5" t="n">
        <v>693.739</v>
      </c>
    </row>
    <row r="14" customFormat="false" ht="15" hidden="false" customHeight="false" outlineLevel="0" collapsed="false">
      <c r="A14" s="5" t="s">
        <v>89</v>
      </c>
      <c r="B14" s="5" t="s">
        <v>86</v>
      </c>
      <c r="C14" s="5" t="n">
        <v>1</v>
      </c>
      <c r="D14" s="5" t="n">
        <v>1</v>
      </c>
      <c r="E14" s="5" t="n">
        <v>0</v>
      </c>
      <c r="F14" s="5" t="n">
        <v>0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4.59665</v>
      </c>
      <c r="R14" s="5" t="s">
        <v>85</v>
      </c>
      <c r="S14" s="5" t="s">
        <v>85</v>
      </c>
      <c r="T14" s="5" t="n">
        <v>56.4175</v>
      </c>
      <c r="U14" s="5" t="n">
        <v>12.9151</v>
      </c>
      <c r="V14" s="5" t="n">
        <v>831</v>
      </c>
      <c r="W14" s="5" t="n">
        <v>96</v>
      </c>
      <c r="X14" s="5" t="s">
        <v>85</v>
      </c>
      <c r="Y14" s="5" t="s">
        <v>85</v>
      </c>
      <c r="Z14" s="5" t="s">
        <v>85</v>
      </c>
      <c r="AA14" s="5" t="n">
        <v>3.55384</v>
      </c>
      <c r="AB14" s="5" t="s">
        <v>85</v>
      </c>
      <c r="AC14" s="5" t="s">
        <v>85</v>
      </c>
      <c r="AD14" s="5" t="s">
        <v>85</v>
      </c>
      <c r="AE14" s="5" t="s">
        <v>85</v>
      </c>
      <c r="AF14" s="5" t="s">
        <v>85</v>
      </c>
      <c r="AG14" s="5" t="s">
        <v>85</v>
      </c>
      <c r="AH14" s="5" t="s">
        <v>85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85</v>
      </c>
      <c r="AN14" s="5" t="n">
        <v>3.5418</v>
      </c>
      <c r="AO14" s="5" t="s">
        <v>85</v>
      </c>
      <c r="AP14" s="5" t="s">
        <v>85</v>
      </c>
      <c r="AQ14" s="5" t="n">
        <v>4.56162</v>
      </c>
      <c r="AR14" s="5" t="s">
        <v>85</v>
      </c>
      <c r="AS14" s="5" t="s">
        <v>85</v>
      </c>
      <c r="AT14" s="5" t="n">
        <v>0.00713195</v>
      </c>
      <c r="AU14" s="5" t="s">
        <v>85</v>
      </c>
      <c r="AV14" s="5" t="s">
        <v>85</v>
      </c>
      <c r="AW14" s="5" t="n">
        <v>9.1654</v>
      </c>
      <c r="AX14" s="5" t="s">
        <v>85</v>
      </c>
      <c r="AY14" s="5" t="s">
        <v>85</v>
      </c>
    </row>
    <row r="15" customFormat="false" ht="15" hidden="false" customHeight="false" outlineLevel="0" collapsed="false">
      <c r="A15" s="5" t="s">
        <v>89</v>
      </c>
      <c r="B15" s="5" t="s">
        <v>86</v>
      </c>
      <c r="C15" s="5" t="n">
        <v>2</v>
      </c>
      <c r="D15" s="5" t="n">
        <v>1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4.62641</v>
      </c>
      <c r="R15" s="5" t="s">
        <v>85</v>
      </c>
      <c r="S15" s="5" t="s">
        <v>85</v>
      </c>
      <c r="T15" s="5" t="n">
        <v>55.8273</v>
      </c>
      <c r="U15" s="5" t="n">
        <v>12.0872</v>
      </c>
      <c r="V15" s="5" t="n">
        <v>1124</v>
      </c>
      <c r="W15" s="5" t="n">
        <v>95</v>
      </c>
      <c r="X15" s="5" t="s">
        <v>85</v>
      </c>
      <c r="Y15" s="5" t="s">
        <v>85</v>
      </c>
      <c r="Z15" s="5" t="s">
        <v>85</v>
      </c>
      <c r="AA15" s="5" t="n">
        <v>3.48665</v>
      </c>
      <c r="AB15" s="5" t="s">
        <v>85</v>
      </c>
      <c r="AC15" s="5" t="s">
        <v>85</v>
      </c>
      <c r="AD15" s="5" t="s">
        <v>85</v>
      </c>
      <c r="AE15" s="5" t="s">
        <v>85</v>
      </c>
      <c r="AF15" s="5" t="s">
        <v>85</v>
      </c>
      <c r="AG15" s="5" t="s">
        <v>85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85</v>
      </c>
      <c r="AN15" s="5" t="n">
        <v>3.47462</v>
      </c>
      <c r="AO15" s="5" t="s">
        <v>85</v>
      </c>
      <c r="AP15" s="5" t="s">
        <v>85</v>
      </c>
      <c r="AQ15" s="5" t="n">
        <v>4.46529</v>
      </c>
      <c r="AR15" s="5" t="s">
        <v>85</v>
      </c>
      <c r="AS15" s="5" t="s">
        <v>85</v>
      </c>
      <c r="AT15" s="5" t="n">
        <v>0.00870708</v>
      </c>
      <c r="AU15" s="5" t="s">
        <v>85</v>
      </c>
      <c r="AV15" s="5" t="s">
        <v>85</v>
      </c>
      <c r="AW15" s="5" t="n">
        <v>9.10041</v>
      </c>
      <c r="AX15" s="5" t="s">
        <v>85</v>
      </c>
      <c r="AY15" s="5" t="s">
        <v>85</v>
      </c>
    </row>
    <row r="16" customFormat="false" ht="15" hidden="false" customHeight="false" outlineLevel="0" collapsed="false">
      <c r="A16" s="5" t="s">
        <v>89</v>
      </c>
      <c r="B16" s="5" t="s">
        <v>86</v>
      </c>
      <c r="C16" s="5" t="n">
        <v>3</v>
      </c>
      <c r="D16" s="5" t="n">
        <v>1</v>
      </c>
      <c r="E16" s="5" t="n">
        <v>0</v>
      </c>
      <c r="F16" s="5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1</v>
      </c>
      <c r="L16" s="5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4.63674</v>
      </c>
      <c r="R16" s="5" t="s">
        <v>85</v>
      </c>
      <c r="S16" s="5" t="s">
        <v>85</v>
      </c>
      <c r="T16" s="5" t="n">
        <v>55.4506</v>
      </c>
      <c r="U16" s="5" t="n">
        <v>11.41</v>
      </c>
      <c r="V16" s="5" t="n">
        <v>1091</v>
      </c>
      <c r="W16" s="5" t="n">
        <v>75</v>
      </c>
      <c r="X16" s="5" t="s">
        <v>85</v>
      </c>
      <c r="Y16" s="5" t="s">
        <v>85</v>
      </c>
      <c r="Z16" s="5" t="s">
        <v>85</v>
      </c>
      <c r="AA16" s="5" t="n">
        <v>3.4755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n">
        <v>3.46352</v>
      </c>
      <c r="AO16" s="5" t="s">
        <v>85</v>
      </c>
      <c r="AP16" s="5" t="s">
        <v>85</v>
      </c>
      <c r="AQ16" s="5" t="n">
        <v>4.44977</v>
      </c>
      <c r="AR16" s="5" t="s">
        <v>85</v>
      </c>
      <c r="AS16" s="5" t="s">
        <v>85</v>
      </c>
      <c r="AT16" s="5" t="n">
        <v>0.00783463</v>
      </c>
      <c r="AU16" s="5" t="s">
        <v>85</v>
      </c>
      <c r="AV16" s="5" t="s">
        <v>85</v>
      </c>
      <c r="AW16" s="5" t="n">
        <v>9.09435</v>
      </c>
      <c r="AX16" s="5" t="s">
        <v>85</v>
      </c>
      <c r="AY16" s="5" t="s">
        <v>85</v>
      </c>
    </row>
    <row r="17" customFormat="false" ht="15" hidden="false" customHeight="false" outlineLevel="0" collapsed="false">
      <c r="A17" s="5" t="s">
        <v>89</v>
      </c>
      <c r="B17" s="5" t="s">
        <v>87</v>
      </c>
      <c r="C17" s="5" t="n">
        <v>4</v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116.524</v>
      </c>
      <c r="R17" s="5" t="n">
        <v>709.604</v>
      </c>
      <c r="S17" s="5" t="s">
        <v>85</v>
      </c>
      <c r="T17" s="5" t="n">
        <v>39.0803</v>
      </c>
      <c r="U17" s="5" t="n">
        <v>12.3885</v>
      </c>
      <c r="V17" s="5" t="n">
        <v>7899</v>
      </c>
      <c r="W17" s="5" t="n">
        <v>3692</v>
      </c>
      <c r="X17" s="5" t="s">
        <v>85</v>
      </c>
      <c r="Y17" s="5" t="s">
        <v>85</v>
      </c>
      <c r="Z17" s="5" t="s">
        <v>85</v>
      </c>
      <c r="AA17" s="5" t="n">
        <v>27.5899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n">
        <v>9.14546</v>
      </c>
      <c r="AO17" s="5" t="n">
        <v>27.4204</v>
      </c>
      <c r="AP17" s="5" t="s">
        <v>85</v>
      </c>
      <c r="AQ17" s="5" t="n">
        <v>5.5661</v>
      </c>
      <c r="AR17" s="5" t="n">
        <v>5.64621</v>
      </c>
      <c r="AS17" s="5" t="s">
        <v>85</v>
      </c>
      <c r="AT17" s="5" t="n">
        <v>0.0103178</v>
      </c>
      <c r="AU17" s="5" t="n">
        <v>36.4798</v>
      </c>
      <c r="AV17" s="5" t="s">
        <v>85</v>
      </c>
      <c r="AW17" s="5" t="n">
        <v>122.1</v>
      </c>
      <c r="AX17" s="5" t="n">
        <v>751.73</v>
      </c>
      <c r="AY17" s="5" t="s">
        <v>85</v>
      </c>
    </row>
    <row r="18" customFormat="false" ht="15" hidden="false" customHeight="false" outlineLevel="0" collapsed="false">
      <c r="A18" s="5" t="s">
        <v>89</v>
      </c>
      <c r="B18" s="5" t="s">
        <v>87</v>
      </c>
      <c r="C18" s="5" t="n">
        <v>5</v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1</v>
      </c>
      <c r="I18" s="5" t="n">
        <v>1</v>
      </c>
      <c r="J18" s="5" t="n">
        <v>1</v>
      </c>
      <c r="K18" s="5" t="n">
        <v>1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116.829</v>
      </c>
      <c r="R18" s="5" t="n">
        <v>710.11</v>
      </c>
      <c r="S18" s="5" t="s">
        <v>85</v>
      </c>
      <c r="T18" s="5" t="n">
        <v>38.9719</v>
      </c>
      <c r="U18" s="5" t="n">
        <v>12.386</v>
      </c>
      <c r="V18" s="5" t="n">
        <v>8008</v>
      </c>
      <c r="W18" s="5" t="n">
        <v>4231</v>
      </c>
      <c r="X18" s="5" t="s">
        <v>85</v>
      </c>
      <c r="Y18" s="5" t="s">
        <v>85</v>
      </c>
      <c r="Z18" s="5" t="s">
        <v>85</v>
      </c>
      <c r="AA18" s="5" t="n">
        <v>27.609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n">
        <v>9.16224</v>
      </c>
      <c r="AO18" s="5" t="n">
        <v>27.438</v>
      </c>
      <c r="AP18" s="5" t="s">
        <v>85</v>
      </c>
      <c r="AQ18" s="5" t="n">
        <v>5.64353</v>
      </c>
      <c r="AR18" s="5" t="n">
        <v>5.71545</v>
      </c>
      <c r="AS18" s="5" t="s">
        <v>85</v>
      </c>
      <c r="AT18" s="5" t="n">
        <v>0.0126565</v>
      </c>
      <c r="AU18" s="5" t="n">
        <v>36.4349</v>
      </c>
      <c r="AV18" s="5" t="s">
        <v>85</v>
      </c>
      <c r="AW18" s="5" t="n">
        <v>122.485</v>
      </c>
      <c r="AX18" s="5" t="n">
        <v>752.26</v>
      </c>
      <c r="AY18" s="5" t="s">
        <v>85</v>
      </c>
    </row>
    <row r="19" customFormat="false" ht="15" hidden="false" customHeight="false" outlineLevel="0" collapsed="false">
      <c r="A19" s="5" t="s">
        <v>89</v>
      </c>
      <c r="B19" s="5" t="s">
        <v>87</v>
      </c>
      <c r="C19" s="5" t="n">
        <v>6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115.77</v>
      </c>
      <c r="R19" s="5" t="n">
        <v>709.45</v>
      </c>
      <c r="S19" s="5" t="s">
        <v>85</v>
      </c>
      <c r="T19" s="5" t="n">
        <v>38.6634</v>
      </c>
      <c r="U19" s="5" t="n">
        <v>12.4465</v>
      </c>
      <c r="V19" s="5" t="n">
        <v>7971</v>
      </c>
      <c r="W19" s="5" t="n">
        <v>4022</v>
      </c>
      <c r="X19" s="5" t="s">
        <v>85</v>
      </c>
      <c r="Y19" s="5" t="s">
        <v>85</v>
      </c>
      <c r="Z19" s="5" t="s">
        <v>85</v>
      </c>
      <c r="AA19" s="5" t="n">
        <v>27.6589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n">
        <v>9.10966</v>
      </c>
      <c r="AO19" s="5" t="n">
        <v>27.4875</v>
      </c>
      <c r="AP19" s="5" t="s">
        <v>85</v>
      </c>
      <c r="AQ19" s="5" t="n">
        <v>5.65676</v>
      </c>
      <c r="AR19" s="5" t="n">
        <v>5.69932</v>
      </c>
      <c r="AS19" s="5" t="s">
        <v>85</v>
      </c>
      <c r="AT19" s="5" t="n">
        <v>0.0155057</v>
      </c>
      <c r="AU19" s="5" t="n">
        <v>36.4477</v>
      </c>
      <c r="AV19" s="5" t="s">
        <v>85</v>
      </c>
      <c r="AW19" s="5" t="n">
        <v>121.442</v>
      </c>
      <c r="AX19" s="5" t="n">
        <v>751.597</v>
      </c>
      <c r="AY19" s="5" t="s">
        <v>85</v>
      </c>
    </row>
    <row r="20" customFormat="false" ht="15" hidden="false" customHeight="false" outlineLevel="0" collapsed="false">
      <c r="A20" s="5" t="s">
        <v>89</v>
      </c>
      <c r="B20" s="5" t="s">
        <v>88</v>
      </c>
      <c r="C20" s="5" t="n">
        <v>7</v>
      </c>
      <c r="D20" s="5" t="n">
        <v>1</v>
      </c>
      <c r="E20" s="5" t="n">
        <v>0</v>
      </c>
      <c r="F20" s="5" t="n">
        <v>1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316.216</v>
      </c>
      <c r="R20" s="5" t="s">
        <v>85</v>
      </c>
      <c r="S20" s="5" t="n">
        <v>261.571</v>
      </c>
      <c r="T20" s="5" t="n">
        <v>24.2803</v>
      </c>
      <c r="U20" s="5" t="n">
        <v>11.7481</v>
      </c>
      <c r="V20" s="5" t="n">
        <v>7576</v>
      </c>
      <c r="W20" s="5" t="n">
        <v>2791</v>
      </c>
      <c r="X20" s="5" t="s">
        <v>85</v>
      </c>
      <c r="Y20" s="5" t="s">
        <v>85</v>
      </c>
      <c r="Z20" s="5" t="s">
        <v>85</v>
      </c>
      <c r="AA20" s="5" t="n">
        <v>19.6825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n">
        <v>19.6687</v>
      </c>
      <c r="AO20" s="5" t="s">
        <v>85</v>
      </c>
      <c r="AP20" s="5" t="n">
        <v>19.6578</v>
      </c>
      <c r="AQ20" s="5" t="n">
        <v>5.23327</v>
      </c>
      <c r="AR20" s="5" t="s">
        <v>85</v>
      </c>
      <c r="AS20" s="5" t="n">
        <v>5.97278</v>
      </c>
      <c r="AT20" s="5" t="n">
        <v>0.00772652</v>
      </c>
      <c r="AU20" s="5" t="s">
        <v>85</v>
      </c>
      <c r="AV20" s="5" t="n">
        <v>0.164223</v>
      </c>
      <c r="AW20" s="5" t="n">
        <v>321.457</v>
      </c>
      <c r="AX20" s="5" t="s">
        <v>85</v>
      </c>
      <c r="AY20" s="5" t="n">
        <v>267.708</v>
      </c>
    </row>
    <row r="21" customFormat="false" ht="15" hidden="false" customHeight="false" outlineLevel="0" collapsed="false">
      <c r="A21" s="5" t="s">
        <v>89</v>
      </c>
      <c r="B21" s="5" t="s">
        <v>88</v>
      </c>
      <c r="C21" s="5" t="n">
        <v>8</v>
      </c>
      <c r="D21" s="5" t="n">
        <v>1</v>
      </c>
      <c r="E21" s="5" t="n">
        <v>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316.475</v>
      </c>
      <c r="R21" s="5" t="s">
        <v>85</v>
      </c>
      <c r="S21" s="5" t="n">
        <v>261.67</v>
      </c>
      <c r="T21" s="5" t="n">
        <v>23.647</v>
      </c>
      <c r="U21" s="5" t="n">
        <v>11.5546</v>
      </c>
      <c r="V21" s="5" t="n">
        <v>7583</v>
      </c>
      <c r="W21" s="5" t="n">
        <v>3395</v>
      </c>
      <c r="X21" s="5" t="s">
        <v>85</v>
      </c>
      <c r="Y21" s="5" t="s">
        <v>85</v>
      </c>
      <c r="Z21" s="5" t="s">
        <v>85</v>
      </c>
      <c r="AA21" s="5" t="n">
        <v>19.6736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n">
        <v>19.6602</v>
      </c>
      <c r="AO21" s="5" t="s">
        <v>85</v>
      </c>
      <c r="AP21" s="5" t="n">
        <v>19.6495</v>
      </c>
      <c r="AQ21" s="5" t="n">
        <v>4.91413</v>
      </c>
      <c r="AR21" s="5" t="s">
        <v>85</v>
      </c>
      <c r="AS21" s="5" t="n">
        <v>5.7218</v>
      </c>
      <c r="AT21" s="5" t="n">
        <v>0.00779472</v>
      </c>
      <c r="AU21" s="5" t="s">
        <v>85</v>
      </c>
      <c r="AV21" s="5" t="n">
        <v>0.15335</v>
      </c>
      <c r="AW21" s="5" t="n">
        <v>321.397</v>
      </c>
      <c r="AX21" s="5" t="s">
        <v>85</v>
      </c>
      <c r="AY21" s="5" t="n">
        <v>267.546</v>
      </c>
    </row>
    <row r="22" customFormat="false" ht="15" hidden="false" customHeight="false" outlineLevel="0" collapsed="false">
      <c r="A22" s="5" t="s">
        <v>89</v>
      </c>
      <c r="B22" s="5" t="s">
        <v>88</v>
      </c>
      <c r="C22" s="5" t="n">
        <v>9</v>
      </c>
      <c r="D22" s="5" t="n">
        <v>1</v>
      </c>
      <c r="E22" s="5" t="n">
        <v>0</v>
      </c>
      <c r="F22" s="5" t="n">
        <v>1</v>
      </c>
      <c r="G22" s="5" t="n">
        <v>1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316.465</v>
      </c>
      <c r="R22" s="5" t="s">
        <v>85</v>
      </c>
      <c r="S22" s="5" t="n">
        <v>261.742</v>
      </c>
      <c r="T22" s="5" t="n">
        <v>23.3269</v>
      </c>
      <c r="U22" s="5" t="n">
        <v>11.5581</v>
      </c>
      <c r="V22" s="5" t="n">
        <v>7599</v>
      </c>
      <c r="W22" s="5" t="n">
        <v>3189</v>
      </c>
      <c r="X22" s="5" t="s">
        <v>85</v>
      </c>
      <c r="Y22" s="5" t="s">
        <v>85</v>
      </c>
      <c r="Z22" s="5" t="s">
        <v>85</v>
      </c>
      <c r="AA22" s="5" t="n">
        <v>19.6836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n">
        <v>19.6691</v>
      </c>
      <c r="AO22" s="5" t="s">
        <v>85</v>
      </c>
      <c r="AP22" s="5" t="n">
        <v>19.6582</v>
      </c>
      <c r="AQ22" s="5" t="n">
        <v>5.05053</v>
      </c>
      <c r="AR22" s="5" t="s">
        <v>85</v>
      </c>
      <c r="AS22" s="5" t="n">
        <v>5.79565</v>
      </c>
      <c r="AT22" s="5" t="n">
        <v>0.00724042</v>
      </c>
      <c r="AU22" s="5" t="s">
        <v>85</v>
      </c>
      <c r="AV22" s="5" t="n">
        <v>0.157341</v>
      </c>
      <c r="AW22" s="5" t="n">
        <v>321.522</v>
      </c>
      <c r="AX22" s="5" t="s">
        <v>85</v>
      </c>
      <c r="AY22" s="5" t="n">
        <v>267.695</v>
      </c>
    </row>
    <row r="23" customFormat="false" ht="15" hidden="false" customHeight="false" outlineLevel="0" collapsed="false">
      <c r="A23" s="5" t="s">
        <v>89</v>
      </c>
      <c r="B23" s="5" t="s">
        <v>84</v>
      </c>
      <c r="C23" s="5" t="n">
        <v>10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557.465</v>
      </c>
      <c r="R23" s="5" t="n">
        <v>543.708</v>
      </c>
      <c r="S23" s="5" t="n">
        <v>459.576</v>
      </c>
      <c r="T23" s="5" t="n">
        <v>39.8962</v>
      </c>
      <c r="U23" s="5" t="n">
        <v>12.798</v>
      </c>
      <c r="V23" s="5" t="n">
        <v>14655</v>
      </c>
      <c r="W23" s="5" t="n">
        <v>9432</v>
      </c>
      <c r="X23" s="5" t="s">
        <v>85</v>
      </c>
      <c r="Y23" s="5" t="s">
        <v>85</v>
      </c>
      <c r="Z23" s="5" t="s">
        <v>85</v>
      </c>
      <c r="AA23" s="5" t="n">
        <v>34.8542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n">
        <v>34.5557</v>
      </c>
      <c r="AO23" s="5" t="n">
        <v>34.6697</v>
      </c>
      <c r="AP23" s="5" t="n">
        <v>34.5457</v>
      </c>
      <c r="AQ23" s="5" t="n">
        <v>5.89152</v>
      </c>
      <c r="AR23" s="5" t="n">
        <v>5.55427</v>
      </c>
      <c r="AS23" s="5" t="n">
        <v>6.8402</v>
      </c>
      <c r="AT23" s="5" t="n">
        <v>0.00920697</v>
      </c>
      <c r="AU23" s="5" t="n">
        <v>38.36</v>
      </c>
      <c r="AV23" s="5" t="n">
        <v>0.158576</v>
      </c>
      <c r="AW23" s="5" t="n">
        <v>563.365</v>
      </c>
      <c r="AX23" s="5" t="n">
        <v>587.622</v>
      </c>
      <c r="AY23" s="5" t="n">
        <v>466.575</v>
      </c>
    </row>
    <row r="24" customFormat="false" ht="15" hidden="false" customHeight="false" outlineLevel="0" collapsed="false">
      <c r="A24" s="5" t="s">
        <v>89</v>
      </c>
      <c r="B24" s="5" t="s">
        <v>84</v>
      </c>
      <c r="C24" s="5" t="n">
        <v>11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555.56</v>
      </c>
      <c r="R24" s="5" t="n">
        <v>542.318</v>
      </c>
      <c r="S24" s="5" t="n">
        <v>458.248</v>
      </c>
      <c r="T24" s="5" t="n">
        <v>39.9928</v>
      </c>
      <c r="U24" s="5" t="n">
        <v>12.9151</v>
      </c>
      <c r="V24" s="5" t="n">
        <v>14456</v>
      </c>
      <c r="W24" s="5" t="n">
        <v>9179</v>
      </c>
      <c r="X24" s="5" t="s">
        <v>85</v>
      </c>
      <c r="Y24" s="5" t="s">
        <v>85</v>
      </c>
      <c r="Z24" s="5" t="s">
        <v>85</v>
      </c>
      <c r="AA24" s="5" t="n">
        <v>34.7511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n">
        <v>34.454</v>
      </c>
      <c r="AO24" s="5" t="n">
        <v>34.5794</v>
      </c>
      <c r="AP24" s="5" t="n">
        <v>34.4446</v>
      </c>
      <c r="AQ24" s="5" t="n">
        <v>5.85761</v>
      </c>
      <c r="AR24" s="5" t="n">
        <v>5.57704</v>
      </c>
      <c r="AS24" s="5" t="n">
        <v>6.82834</v>
      </c>
      <c r="AT24" s="5" t="n">
        <v>0.00920987</v>
      </c>
      <c r="AU24" s="5" t="n">
        <v>38.333</v>
      </c>
      <c r="AV24" s="5" t="n">
        <v>0.156885</v>
      </c>
      <c r="AW24" s="5" t="n">
        <v>561.427</v>
      </c>
      <c r="AX24" s="5" t="n">
        <v>586.228</v>
      </c>
      <c r="AY24" s="5" t="n">
        <v>465.233</v>
      </c>
    </row>
    <row r="25" customFormat="false" ht="15" hidden="false" customHeight="false" outlineLevel="0" collapsed="false">
      <c r="A25" s="5" t="s">
        <v>89</v>
      </c>
      <c r="B25" s="5" t="s">
        <v>84</v>
      </c>
      <c r="C25" s="5" t="n">
        <v>12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556.707</v>
      </c>
      <c r="R25" s="5" t="n">
        <v>543.787</v>
      </c>
      <c r="S25" s="5" t="n">
        <v>458.881</v>
      </c>
      <c r="T25" s="5" t="n">
        <v>39.9029</v>
      </c>
      <c r="U25" s="5" t="n">
        <v>12.8247</v>
      </c>
      <c r="V25" s="5" t="n">
        <v>14594</v>
      </c>
      <c r="W25" s="5" t="n">
        <v>9842</v>
      </c>
      <c r="X25" s="5" t="s">
        <v>85</v>
      </c>
      <c r="Y25" s="5" t="s">
        <v>85</v>
      </c>
      <c r="Z25" s="5" t="s">
        <v>85</v>
      </c>
      <c r="AA25" s="5" t="n">
        <v>34.7594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n">
        <v>34.5157</v>
      </c>
      <c r="AO25" s="5" t="n">
        <v>34.5865</v>
      </c>
      <c r="AP25" s="5" t="n">
        <v>34.5052</v>
      </c>
      <c r="AQ25" s="5" t="n">
        <v>5.95064</v>
      </c>
      <c r="AR25" s="5" t="n">
        <v>5.58665</v>
      </c>
      <c r="AS25" s="5" t="n">
        <v>6.92806</v>
      </c>
      <c r="AT25" s="5" t="n">
        <v>0.00993975</v>
      </c>
      <c r="AU25" s="5" t="n">
        <v>38.4544</v>
      </c>
      <c r="AV25" s="5" t="n">
        <v>0.161112</v>
      </c>
      <c r="AW25" s="5" t="n">
        <v>562.667</v>
      </c>
      <c r="AX25" s="5" t="n">
        <v>587.828</v>
      </c>
      <c r="AY25" s="5" t="n">
        <v>465.97</v>
      </c>
    </row>
  </sheetData>
  <autoFilter ref="A1:AY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2" min="1" style="0" width="18"/>
  </cols>
  <sheetData>
    <row r="1" customFormat="false" ht="23.85" hidden="false" customHeight="false" outlineLevel="0" collapsed="false">
      <c r="A1" s="4" t="s">
        <v>2</v>
      </c>
      <c r="B1" s="4" t="s">
        <v>4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100</v>
      </c>
      <c r="N1" s="4" t="s">
        <v>101</v>
      </c>
      <c r="O1" s="4" t="s">
        <v>102</v>
      </c>
      <c r="P1" s="4" t="s">
        <v>103</v>
      </c>
      <c r="Q1" s="4" t="s">
        <v>104</v>
      </c>
      <c r="R1" s="4" t="s">
        <v>105</v>
      </c>
      <c r="S1" s="4" t="s">
        <v>106</v>
      </c>
      <c r="T1" s="4" t="s">
        <v>107</v>
      </c>
      <c r="U1" s="4" t="s">
        <v>108</v>
      </c>
      <c r="V1" s="4" t="s">
        <v>109</v>
      </c>
      <c r="W1" s="4" t="s">
        <v>110</v>
      </c>
      <c r="X1" s="4" t="s">
        <v>111</v>
      </c>
      <c r="Y1" s="4" t="s">
        <v>112</v>
      </c>
      <c r="Z1" s="4" t="s">
        <v>113</v>
      </c>
      <c r="AA1" s="4" t="s">
        <v>114</v>
      </c>
      <c r="AB1" s="4" t="s">
        <v>115</v>
      </c>
      <c r="AC1" s="4" t="s">
        <v>116</v>
      </c>
      <c r="AD1" s="4" t="s">
        <v>117</v>
      </c>
      <c r="AE1" s="4" t="s">
        <v>118</v>
      </c>
      <c r="AF1" s="4" t="s">
        <v>119</v>
      </c>
      <c r="AG1" s="4" t="s">
        <v>120</v>
      </c>
      <c r="AH1" s="4" t="s">
        <v>121</v>
      </c>
      <c r="AI1" s="4" t="s">
        <v>122</v>
      </c>
      <c r="AJ1" s="4" t="s">
        <v>123</v>
      </c>
      <c r="AK1" s="4" t="s">
        <v>124</v>
      </c>
      <c r="AL1" s="4" t="s">
        <v>125</v>
      </c>
      <c r="AM1" s="4" t="s">
        <v>126</v>
      </c>
      <c r="AN1" s="4" t="s">
        <v>127</v>
      </c>
      <c r="AO1" s="4" t="s">
        <v>128</v>
      </c>
      <c r="AP1" s="4" t="s">
        <v>129</v>
      </c>
      <c r="AQ1" s="4" t="s">
        <v>130</v>
      </c>
      <c r="AR1" s="4" t="s">
        <v>131</v>
      </c>
      <c r="AS1" s="4" t="s">
        <v>132</v>
      </c>
      <c r="AT1" s="4" t="s">
        <v>133</v>
      </c>
      <c r="AU1" s="4" t="s">
        <v>134</v>
      </c>
      <c r="AV1" s="4" t="s">
        <v>135</v>
      </c>
      <c r="AW1" s="4" t="s">
        <v>136</v>
      </c>
      <c r="AX1" s="4" t="s">
        <v>137</v>
      </c>
      <c r="AY1" s="4" t="s">
        <v>138</v>
      </c>
      <c r="AZ1" s="4" t="s">
        <v>139</v>
      </c>
    </row>
    <row r="2" customFormat="false" ht="15" hidden="false" customHeight="false" outlineLevel="0" collapsed="false">
      <c r="A2" s="5" t="s">
        <v>83</v>
      </c>
      <c r="B2" s="5" t="s">
        <v>86</v>
      </c>
      <c r="C2" s="5" t="n">
        <f aca="false">COUNTIFS(전체!A2:A25,$A2,전체!B2:B25,$B2)</f>
        <v>3</v>
      </c>
      <c r="D2" s="6" t="n">
        <f aca="false">IFERROR(AVERAGEIFS(전체!C2:C25,전체!A2:A25,$A2,전체!B2:B25,$B2),"-")</f>
        <v>3</v>
      </c>
      <c r="E2" s="6" t="n">
        <f aca="false">IFERROR(AVERAGEIFS(전체!D2:D25,전체!A2:A25,$A2,전체!B2:B25,$B2),"-")</f>
        <v>1</v>
      </c>
      <c r="F2" s="6" t="n">
        <f aca="false">IFERROR(AVERAGEIFS(전체!E2:E25,전체!A2:A25,$A2,전체!B2:B25,$B2),"-")</f>
        <v>0</v>
      </c>
      <c r="G2" s="6" t="n">
        <f aca="false">IFERROR(AVERAGEIFS(전체!F2:F25,전체!A2:A25,$A2,전체!B2:B25,$B2),"-")</f>
        <v>0</v>
      </c>
      <c r="H2" s="6" t="n">
        <f aca="false">IFERROR(AVERAGEIFS(전체!G2:G25,전체!A2:A25,$A2,전체!B2:B25,$B2),"-")</f>
        <v>1</v>
      </c>
      <c r="I2" s="6" t="n">
        <f aca="false">IFERROR(AVERAGEIFS(전체!H2:H25,전체!A2:A25,$A2,전체!B2:B25,$B2),"-")</f>
        <v>1</v>
      </c>
      <c r="J2" s="6" t="n">
        <f aca="false">IFERROR(AVERAGEIFS(전체!I2:I25,전체!A2:A25,$A2,전체!B2:B25,$B2),"-")</f>
        <v>1</v>
      </c>
      <c r="K2" s="6" t="n">
        <f aca="false">IFERROR(AVERAGEIFS(전체!J2:J25,전체!A2:A25,$A2,전체!B2:B25,$B2),"-")</f>
        <v>1</v>
      </c>
      <c r="L2" s="6" t="n">
        <f aca="false">IFERROR(AVERAGEIFS(전체!K2:K25,전체!A2:A25,$A2,전체!B2:B25,$B2),"-")</f>
        <v>1</v>
      </c>
      <c r="M2" s="6" t="n">
        <f aca="false">IFERROR(AVERAGEIFS(전체!L2:L25,전체!A2:A25,$A2,전체!B2:B25,$B2),"-")</f>
        <v>1</v>
      </c>
      <c r="N2" s="6" t="n">
        <f aca="false">IFERROR(AVERAGEIFS(전체!M2:M25,전체!A2:A25,$A2,전체!B2:B25,$B2),"-")</f>
        <v>0</v>
      </c>
      <c r="O2" s="6" t="n">
        <f aca="false">IFERROR(AVERAGEIFS(전체!N2:N25,전체!A2:A25,$A2,전체!B2:B25,$B2),"-")</f>
        <v>0</v>
      </c>
      <c r="P2" s="6" t="n">
        <f aca="false">IFERROR(AVERAGEIFS(전체!O2:O25,전체!A2:A25,$A2,전체!B2:B25,$B2),"-")</f>
        <v>0</v>
      </c>
      <c r="Q2" s="6" t="n">
        <f aca="false">IFERROR(AVERAGEIFS(전체!P2:P25,전체!A2:A25,$A2,전체!B2:B25,$B2),"-")</f>
        <v>0</v>
      </c>
      <c r="R2" s="6" t="n">
        <f aca="false">IFERROR(AVERAGEIFS(전체!Q2:Q25,전체!A2:A25,$A2,전체!B2:B25,$B2),"-")</f>
        <v>152.581333333333</v>
      </c>
      <c r="S2" s="6" t="str">
        <f aca="false">IFERROR(AVERAGEIFS(전체!R2:R25,전체!A2:A25,$A2,전체!B2:B25,$B2),"-")</f>
        <v>-</v>
      </c>
      <c r="T2" s="6" t="str">
        <f aca="false">IFERROR(AVERAGEIFS(전체!S2:S25,전체!A2:A25,$A2,전체!B2:B25,$B2),"-")</f>
        <v>-</v>
      </c>
      <c r="U2" s="6" t="n">
        <f aca="false">IFERROR(AVERAGEIFS(전체!T2:T25,전체!A2:A25,$A2,전체!B2:B25,$B2),"-")</f>
        <v>22.7185333333333</v>
      </c>
      <c r="V2" s="6" t="n">
        <f aca="false">IFERROR(AVERAGEIFS(전체!U2:U25,전체!A2:A25,$A2,전체!B2:B25,$B2),"-")</f>
        <v>20.1715</v>
      </c>
      <c r="W2" s="6" t="n">
        <f aca="false">IFERROR(AVERAGEIFS(전체!V2:V25,전체!A2:A25,$A2,전체!B2:B25,$B2),"-")</f>
        <v>1337</v>
      </c>
      <c r="X2" s="6" t="n">
        <f aca="false">IFERROR(AVERAGEIFS(전체!W2:W25,전체!A2:A25,$A2,전체!B2:B25,$B2),"-")</f>
        <v>745.666666666667</v>
      </c>
      <c r="Y2" s="6" t="str">
        <f aca="false">IFERROR(AVERAGEIFS(전체!X2:X25,전체!A2:A25,$A2,전체!B2:B25,$B2),"-")</f>
        <v>-</v>
      </c>
      <c r="Z2" s="6" t="str">
        <f aca="false">IFERROR(AVERAGEIFS(전체!Y2:Y25,전체!A2:A25,$A2,전체!B2:B25,$B2),"-")</f>
        <v>-</v>
      </c>
      <c r="AA2" s="6" t="str">
        <f aca="false">IFERROR(AVERAGEIFS(전체!Z2:Z25,전체!A2:A25,$A2,전체!B2:B25,$B2),"-")</f>
        <v>-</v>
      </c>
      <c r="AB2" s="6" t="n">
        <f aca="false">IFERROR(AVERAGEIFS(전체!AA2:AA25,전체!A2:A25,$A2,전체!B2:B25,$B2),"-")</f>
        <v>9.62314666666667</v>
      </c>
      <c r="AC2" s="6" t="str">
        <f aca="false">IFERROR(AVERAGEIFS(전체!AB2:AB25,전체!A2:A25,$A2,전체!B2:B25,$B2),"-")</f>
        <v>-</v>
      </c>
      <c r="AD2" s="6" t="str">
        <f aca="false">IFERROR(AVERAGEIFS(전체!AC2:AC25,전체!A2:A25,$A2,전체!B2:B25,$B2),"-")</f>
        <v>-</v>
      </c>
      <c r="AE2" s="6" t="str">
        <f aca="false">IFERROR(AVERAGEIFS(전체!AD2:AD25,전체!A2:A25,$A2,전체!B2:B25,$B2),"-")</f>
        <v>-</v>
      </c>
      <c r="AF2" s="6" t="str">
        <f aca="false">IFERROR(AVERAGEIFS(전체!AE2:AE25,전체!A2:A25,$A2,전체!B2:B25,$B2),"-")</f>
        <v>-</v>
      </c>
      <c r="AG2" s="6" t="str">
        <f aca="false">IFERROR(AVERAGEIFS(전체!AF2:AF25,전체!A2:A25,$A2,전체!B2:B25,$B2),"-")</f>
        <v>-</v>
      </c>
      <c r="AH2" s="6" t="str">
        <f aca="false">IFERROR(AVERAGEIFS(전체!AG2:AG25,전체!A2:A25,$A2,전체!B2:B25,$B2),"-")</f>
        <v>-</v>
      </c>
      <c r="AI2" s="6" t="str">
        <f aca="false">IFERROR(AVERAGEIFS(전체!AH2:AH25,전체!A2:A25,$A2,전체!B2:B25,$B2),"-")</f>
        <v>-</v>
      </c>
      <c r="AJ2" s="6" t="str">
        <f aca="false">IFERROR(AVERAGEIFS(전체!AI2:AI25,전체!A2:A25,$A2,전체!B2:B25,$B2),"-")</f>
        <v>-</v>
      </c>
      <c r="AK2" s="6" t="str">
        <f aca="false">IFERROR(AVERAGEIFS(전체!AJ2:AJ25,전체!A2:A25,$A2,전체!B2:B25,$B2),"-")</f>
        <v>-</v>
      </c>
      <c r="AL2" s="6" t="str">
        <f aca="false">IFERROR(AVERAGEIFS(전체!AK2:AK25,전체!A2:A25,$A2,전체!B2:B25,$B2),"-")</f>
        <v>-</v>
      </c>
      <c r="AM2" s="6" t="str">
        <f aca="false">IFERROR(AVERAGEIFS(전체!AL2:AL25,전체!A2:A25,$A2,전체!B2:B25,$B2),"-")</f>
        <v>-</v>
      </c>
      <c r="AN2" s="6" t="str">
        <f aca="false">IFERROR(AVERAGEIFS(전체!AM2:AM25,전체!A2:A25,$A2,전체!B2:B25,$B2),"-")</f>
        <v>-</v>
      </c>
      <c r="AO2" s="6" t="n">
        <f aca="false">IFERROR(AVERAGEIFS(전체!AN2:AN25,전체!A2:A25,$A2,전체!B2:B25,$B2),"-")</f>
        <v>9.61095333333334</v>
      </c>
      <c r="AP2" s="6" t="str">
        <f aca="false">IFERROR(AVERAGEIFS(전체!AO2:AO25,전체!A2:A25,$A2,전체!B2:B25,$B2),"-")</f>
        <v>-</v>
      </c>
      <c r="AQ2" s="6" t="str">
        <f aca="false">IFERROR(AVERAGEIFS(전체!AP2:AP25,전체!A2:A25,$A2,전체!B2:B25,$B2),"-")</f>
        <v>-</v>
      </c>
      <c r="AR2" s="6" t="n">
        <f aca="false">IFERROR(AVERAGEIFS(전체!AQ2:AQ25,전체!A2:A25,$A2,전체!B2:B25,$B2),"-")</f>
        <v>5.14812666666667</v>
      </c>
      <c r="AS2" s="6" t="str">
        <f aca="false">IFERROR(AVERAGEIFS(전체!AR2:AR25,전체!A2:A25,$A2,전체!B2:B25,$B2),"-")</f>
        <v>-</v>
      </c>
      <c r="AT2" s="6" t="str">
        <f aca="false">IFERROR(AVERAGEIFS(전체!AS2:AS25,전체!A2:A25,$A2,전체!B2:B25,$B2),"-")</f>
        <v>-</v>
      </c>
      <c r="AU2" s="6" t="n">
        <f aca="false">IFERROR(AVERAGEIFS(전체!AT2:AT25,전체!A2:A25,$A2,전체!B2:B25,$B2),"-")</f>
        <v>0.00981001333333333</v>
      </c>
      <c r="AV2" s="6" t="str">
        <f aca="false">IFERROR(AVERAGEIFS(전체!AU2:AU25,전체!A2:A25,$A2,전체!B2:B25,$B2),"-")</f>
        <v>-</v>
      </c>
      <c r="AW2" s="6" t="str">
        <f aca="false">IFERROR(AVERAGEIFS(전체!AV2:AV25,전체!A2:A25,$A2,전체!B2:B25,$B2),"-")</f>
        <v>-</v>
      </c>
      <c r="AX2" s="6" t="n">
        <f aca="false">IFERROR(AVERAGEIFS(전체!AW2:AW25,전체!A2:A25,$A2,전체!B2:B25,$B2),"-")</f>
        <v>157.739666666667</v>
      </c>
      <c r="AY2" s="6" t="str">
        <f aca="false">IFERROR(AVERAGEIFS(전체!AX2:AX25,전체!A2:A25,$A2,전체!B2:B25,$B2),"-")</f>
        <v>-</v>
      </c>
      <c r="AZ2" s="6" t="str">
        <f aca="false">IFERROR(AVERAGEIFS(전체!AY2:AY25,전체!A2:A25,$A2,전체!B2:B25,$B2),"-")</f>
        <v>-</v>
      </c>
    </row>
    <row r="3" customFormat="false" ht="15" hidden="false" customHeight="false" outlineLevel="0" collapsed="false">
      <c r="A3" s="5" t="s">
        <v>83</v>
      </c>
      <c r="B3" s="5" t="s">
        <v>87</v>
      </c>
      <c r="C3" s="5" t="n">
        <f aca="false">COUNTIFS(전체!A2:A25,$A3,전체!B2:B25,$B3)</f>
        <v>3</v>
      </c>
      <c r="D3" s="6" t="n">
        <f aca="false">IFERROR(AVERAGEIFS(전체!C2:C25,전체!A2:A25,$A3,전체!B2:B25,$B3),"-")</f>
        <v>6</v>
      </c>
      <c r="E3" s="6" t="n">
        <f aca="false">IFERROR(AVERAGEIFS(전체!D2:D25,전체!A2:A25,$A3,전체!B2:B25,$B3),"-")</f>
        <v>1</v>
      </c>
      <c r="F3" s="6" t="n">
        <f aca="false">IFERROR(AVERAGEIFS(전체!E2:E25,전체!A2:A25,$A3,전체!B2:B25,$B3),"-")</f>
        <v>1</v>
      </c>
      <c r="G3" s="6" t="n">
        <f aca="false">IFERROR(AVERAGEIFS(전체!F2:F25,전체!A2:A25,$A3,전체!B2:B25,$B3),"-")</f>
        <v>0</v>
      </c>
      <c r="H3" s="6" t="n">
        <f aca="false">IFERROR(AVERAGEIFS(전체!G2:G25,전체!A2:A25,$A3,전체!B2:B25,$B3),"-")</f>
        <v>1</v>
      </c>
      <c r="I3" s="6" t="n">
        <f aca="false">IFERROR(AVERAGEIFS(전체!H2:H25,전체!A2:A25,$A3,전체!B2:B25,$B3),"-")</f>
        <v>1</v>
      </c>
      <c r="J3" s="6" t="n">
        <f aca="false">IFERROR(AVERAGEIFS(전체!I2:I25,전체!A2:A25,$A3,전체!B2:B25,$B3),"-")</f>
        <v>1</v>
      </c>
      <c r="K3" s="6" t="n">
        <f aca="false">IFERROR(AVERAGEIFS(전체!J2:J25,전체!A2:A25,$A3,전체!B2:B25,$B3),"-")</f>
        <v>1</v>
      </c>
      <c r="L3" s="6" t="n">
        <f aca="false">IFERROR(AVERAGEIFS(전체!K2:K25,전체!A2:A25,$A3,전체!B2:B25,$B3),"-")</f>
        <v>1</v>
      </c>
      <c r="M3" s="6" t="n">
        <f aca="false">IFERROR(AVERAGEIFS(전체!L2:L25,전체!A2:A25,$A3,전체!B2:B25,$B3),"-")</f>
        <v>1</v>
      </c>
      <c r="N3" s="6" t="n">
        <f aca="false">IFERROR(AVERAGEIFS(전체!M2:M25,전체!A2:A25,$A3,전체!B2:B25,$B3),"-")</f>
        <v>0</v>
      </c>
      <c r="O3" s="6" t="n">
        <f aca="false">IFERROR(AVERAGEIFS(전체!N2:N25,전체!A2:A25,$A3,전체!B2:B25,$B3),"-")</f>
        <v>0</v>
      </c>
      <c r="P3" s="6" t="n">
        <f aca="false">IFERROR(AVERAGEIFS(전체!O2:O25,전체!A2:A25,$A3,전체!B2:B25,$B3),"-")</f>
        <v>0</v>
      </c>
      <c r="Q3" s="6" t="n">
        <f aca="false">IFERROR(AVERAGEIFS(전체!P2:P25,전체!A2:A25,$A3,전체!B2:B25,$B3),"-")</f>
        <v>0</v>
      </c>
      <c r="R3" s="6" t="n">
        <f aca="false">IFERROR(AVERAGEIFS(전체!Q2:Q25,전체!A2:A25,$A3,전체!B2:B25,$B3),"-")</f>
        <v>531.858666666667</v>
      </c>
      <c r="S3" s="6" t="n">
        <f aca="false">IFERROR(AVERAGEIFS(전체!R2:R25,전체!A2:A25,$A3,전체!B2:B25,$B3),"-")</f>
        <v>575.832</v>
      </c>
      <c r="T3" s="6" t="str">
        <f aca="false">IFERROR(AVERAGEIFS(전체!S2:S25,전체!A2:A25,$A3,전체!B2:B25,$B3),"-")</f>
        <v>-</v>
      </c>
      <c r="U3" s="6" t="n">
        <f aca="false">IFERROR(AVERAGEIFS(전체!T2:T25,전체!A2:A25,$A3,전체!B2:B25,$B3),"-")</f>
        <v>44.9708666666667</v>
      </c>
      <c r="V3" s="6" t="n">
        <f aca="false">IFERROR(AVERAGEIFS(전체!U2:U25,전체!A2:A25,$A3,전체!B2:B25,$B3),"-")</f>
        <v>20.5704666666667</v>
      </c>
      <c r="W3" s="6" t="n">
        <f aca="false">IFERROR(AVERAGEIFS(전체!V2:V25,전체!A2:A25,$A3,전체!B2:B25,$B3),"-")</f>
        <v>8235</v>
      </c>
      <c r="X3" s="6" t="n">
        <f aca="false">IFERROR(AVERAGEIFS(전체!W2:W25,전체!A2:A25,$A3,전체!B2:B25,$B3),"-")</f>
        <v>5415.33333333333</v>
      </c>
      <c r="Y3" s="6" t="str">
        <f aca="false">IFERROR(AVERAGEIFS(전체!X2:X25,전체!A2:A25,$A3,전체!B2:B25,$B3),"-")</f>
        <v>-</v>
      </c>
      <c r="Z3" s="6" t="str">
        <f aca="false">IFERROR(AVERAGEIFS(전체!Y2:Y25,전체!A2:A25,$A3,전체!B2:B25,$B3),"-")</f>
        <v>-</v>
      </c>
      <c r="AA3" s="6" t="str">
        <f aca="false">IFERROR(AVERAGEIFS(전체!Z2:Z25,전체!A2:A25,$A3,전체!B2:B25,$B3),"-")</f>
        <v>-</v>
      </c>
      <c r="AB3" s="6" t="n">
        <f aca="false">IFERROR(AVERAGEIFS(전체!AA2:AA25,전체!A2:A25,$A3,전체!B2:B25,$B3),"-")</f>
        <v>39.7029</v>
      </c>
      <c r="AC3" s="6" t="str">
        <f aca="false">IFERROR(AVERAGEIFS(전체!AB2:AB25,전체!A2:A25,$A3,전체!B2:B25,$B3),"-")</f>
        <v>-</v>
      </c>
      <c r="AD3" s="6" t="str">
        <f aca="false">IFERROR(AVERAGEIFS(전체!AC2:AC25,전체!A2:A25,$A3,전체!B2:B25,$B3),"-")</f>
        <v>-</v>
      </c>
      <c r="AE3" s="6" t="str">
        <f aca="false">IFERROR(AVERAGEIFS(전체!AD2:AD25,전체!A2:A25,$A3,전체!B2:B25,$B3),"-")</f>
        <v>-</v>
      </c>
      <c r="AF3" s="6" t="str">
        <f aca="false">IFERROR(AVERAGEIFS(전체!AE2:AE25,전체!A2:A25,$A3,전체!B2:B25,$B3),"-")</f>
        <v>-</v>
      </c>
      <c r="AG3" s="6" t="str">
        <f aca="false">IFERROR(AVERAGEIFS(전체!AF2:AF25,전체!A2:A25,$A3,전체!B2:B25,$B3),"-")</f>
        <v>-</v>
      </c>
      <c r="AH3" s="6" t="str">
        <f aca="false">IFERROR(AVERAGEIFS(전체!AG2:AG25,전체!A2:A25,$A3,전체!B2:B25,$B3),"-")</f>
        <v>-</v>
      </c>
      <c r="AI3" s="6" t="str">
        <f aca="false">IFERROR(AVERAGEIFS(전체!AH2:AH25,전체!A2:A25,$A3,전체!B2:B25,$B3),"-")</f>
        <v>-</v>
      </c>
      <c r="AJ3" s="6" t="str">
        <f aca="false">IFERROR(AVERAGEIFS(전체!AI2:AI25,전체!A2:A25,$A3,전체!B2:B25,$B3),"-")</f>
        <v>-</v>
      </c>
      <c r="AK3" s="6" t="str">
        <f aca="false">IFERROR(AVERAGEIFS(전체!AJ2:AJ25,전체!A2:A25,$A3,전체!B2:B25,$B3),"-")</f>
        <v>-</v>
      </c>
      <c r="AL3" s="6" t="str">
        <f aca="false">IFERROR(AVERAGEIFS(전체!AK2:AK25,전체!A2:A25,$A3,전체!B2:B25,$B3),"-")</f>
        <v>-</v>
      </c>
      <c r="AM3" s="6" t="str">
        <f aca="false">IFERROR(AVERAGEIFS(전체!AL2:AL25,전체!A2:A25,$A3,전체!B2:B25,$B3),"-")</f>
        <v>-</v>
      </c>
      <c r="AN3" s="6" t="str">
        <f aca="false">IFERROR(AVERAGEIFS(전체!AM2:AM25,전체!A2:A25,$A3,전체!B2:B25,$B3),"-")</f>
        <v>-</v>
      </c>
      <c r="AO3" s="6" t="n">
        <f aca="false">IFERROR(AVERAGEIFS(전체!AN2:AN25,전체!A2:A25,$A3,전체!B2:B25,$B3),"-")</f>
        <v>39.5204666666667</v>
      </c>
      <c r="AP3" s="6" t="n">
        <f aca="false">IFERROR(AVERAGEIFS(전체!AO2:AO25,전체!A2:A25,$A3,전체!B2:B25,$B3),"-")</f>
        <v>39.5311333333333</v>
      </c>
      <c r="AQ3" s="6" t="str">
        <f aca="false">IFERROR(AVERAGEIFS(전체!AP2:AP25,전체!A2:A25,$A3,전체!B2:B25,$B3),"-")</f>
        <v>-</v>
      </c>
      <c r="AR3" s="6" t="n">
        <f aca="false">IFERROR(AVERAGEIFS(전체!AQ2:AQ25,전체!A2:A25,$A3,전체!B2:B25,$B3),"-")</f>
        <v>5.74093</v>
      </c>
      <c r="AS3" s="6" t="n">
        <f aca="false">IFERROR(AVERAGEIFS(전체!AR2:AR25,전체!A2:A25,$A3,전체!B2:B25,$B3),"-")</f>
        <v>5.22727666666667</v>
      </c>
      <c r="AT3" s="6" t="str">
        <f aca="false">IFERROR(AVERAGEIFS(전체!AS2:AS25,전체!A2:A25,$A3,전체!B2:B25,$B3),"-")</f>
        <v>-</v>
      </c>
      <c r="AU3" s="6" t="n">
        <f aca="false">IFERROR(AVERAGEIFS(전체!AT2:AT25,전체!A2:A25,$A3,전체!B2:B25,$B3),"-")</f>
        <v>0.0114279</v>
      </c>
      <c r="AV3" s="6" t="n">
        <f aca="false">IFERROR(AVERAGEIFS(전체!AU2:AU25,전체!A2:A25,$A3,전체!B2:B25,$B3),"-")</f>
        <v>37.1752</v>
      </c>
      <c r="AW3" s="6" t="str">
        <f aca="false">IFERROR(AVERAGEIFS(전체!AV2:AV25,전체!A2:A25,$A3,전체!B2:B25,$B3),"-")</f>
        <v>-</v>
      </c>
      <c r="AX3" s="6" t="n">
        <f aca="false">IFERROR(AVERAGEIFS(전체!AW2:AW25,전체!A2:A25,$A3,전체!B2:B25,$B3),"-")</f>
        <v>537.611</v>
      </c>
      <c r="AY3" s="6" t="n">
        <f aca="false">IFERROR(AVERAGEIFS(전체!AX2:AX25,전체!A2:A25,$A3,전체!B2:B25,$B3),"-")</f>
        <v>618.234333333333</v>
      </c>
      <c r="AZ3" s="6" t="str">
        <f aca="false">IFERROR(AVERAGEIFS(전체!AY2:AY25,전체!A2:A25,$A3,전체!B2:B25,$B3),"-")</f>
        <v>-</v>
      </c>
    </row>
    <row r="4" customFormat="false" ht="15" hidden="false" customHeight="false" outlineLevel="0" collapsed="false">
      <c r="A4" s="5" t="s">
        <v>83</v>
      </c>
      <c r="B4" s="5" t="s">
        <v>88</v>
      </c>
      <c r="C4" s="5" t="n">
        <f aca="false">COUNTIFS(전체!A2:A25,$A4,전체!B2:B25,$B4)</f>
        <v>3</v>
      </c>
      <c r="D4" s="6" t="n">
        <f aca="false">IFERROR(AVERAGEIFS(전체!C2:C25,전체!A2:A25,$A4,전체!B2:B25,$B4),"-")</f>
        <v>9</v>
      </c>
      <c r="E4" s="6" t="n">
        <f aca="false">IFERROR(AVERAGEIFS(전체!D2:D25,전체!A2:A25,$A4,전체!B2:B25,$B4),"-")</f>
        <v>1</v>
      </c>
      <c r="F4" s="6" t="n">
        <f aca="false">IFERROR(AVERAGEIFS(전체!E2:E25,전체!A2:A25,$A4,전체!B2:B25,$B4),"-")</f>
        <v>0</v>
      </c>
      <c r="G4" s="6" t="n">
        <f aca="false">IFERROR(AVERAGEIFS(전체!F2:F25,전체!A2:A25,$A4,전체!B2:B25,$B4),"-")</f>
        <v>1</v>
      </c>
      <c r="H4" s="6" t="n">
        <f aca="false">IFERROR(AVERAGEIFS(전체!G2:G25,전체!A2:A25,$A4,전체!B2:B25,$B4),"-")</f>
        <v>1</v>
      </c>
      <c r="I4" s="6" t="n">
        <f aca="false">IFERROR(AVERAGEIFS(전체!H2:H25,전체!A2:A25,$A4,전체!B2:B25,$B4),"-")</f>
        <v>1</v>
      </c>
      <c r="J4" s="6" t="n">
        <f aca="false">IFERROR(AVERAGEIFS(전체!I2:I25,전체!A2:A25,$A4,전체!B2:B25,$B4),"-")</f>
        <v>1</v>
      </c>
      <c r="K4" s="6" t="n">
        <f aca="false">IFERROR(AVERAGEIFS(전체!J2:J25,전체!A2:A25,$A4,전체!B2:B25,$B4),"-")</f>
        <v>1</v>
      </c>
      <c r="L4" s="6" t="n">
        <f aca="false">IFERROR(AVERAGEIFS(전체!K2:K25,전체!A2:A25,$A4,전체!B2:B25,$B4),"-")</f>
        <v>1</v>
      </c>
      <c r="M4" s="6" t="n">
        <f aca="false">IFERROR(AVERAGEIFS(전체!L2:L25,전체!A2:A25,$A4,전체!B2:B25,$B4),"-")</f>
        <v>1</v>
      </c>
      <c r="N4" s="6" t="n">
        <f aca="false">IFERROR(AVERAGEIFS(전체!M2:M25,전체!A2:A25,$A4,전체!B2:B25,$B4),"-")</f>
        <v>0</v>
      </c>
      <c r="O4" s="6" t="n">
        <f aca="false">IFERROR(AVERAGEIFS(전체!N2:N25,전체!A2:A25,$A4,전체!B2:B25,$B4),"-")</f>
        <v>0</v>
      </c>
      <c r="P4" s="6" t="n">
        <f aca="false">IFERROR(AVERAGEIFS(전체!O2:O25,전체!A2:A25,$A4,전체!B2:B25,$B4),"-")</f>
        <v>0</v>
      </c>
      <c r="Q4" s="6" t="n">
        <f aca="false">IFERROR(AVERAGEIFS(전체!P2:P25,전체!A2:A25,$A4,전체!B2:B25,$B4),"-")</f>
        <v>0</v>
      </c>
      <c r="R4" s="6" t="n">
        <f aca="false">IFERROR(AVERAGEIFS(전체!Q2:Q25,전체!A2:A25,$A4,전체!B2:B25,$B4),"-")</f>
        <v>480.719333333333</v>
      </c>
      <c r="S4" s="6" t="str">
        <f aca="false">IFERROR(AVERAGEIFS(전체!R2:R25,전체!A2:A25,$A4,전체!B2:B25,$B4),"-")</f>
        <v>-</v>
      </c>
      <c r="T4" s="6" t="n">
        <f aca="false">IFERROR(AVERAGEIFS(전체!S2:S25,전체!A2:A25,$A4,전체!B2:B25,$B4),"-")</f>
        <v>473.861</v>
      </c>
      <c r="U4" s="6" t="n">
        <f aca="false">IFERROR(AVERAGEIFS(전체!T2:T25,전체!A2:A25,$A4,전체!B2:B25,$B4),"-")</f>
        <v>30.7054</v>
      </c>
      <c r="V4" s="6" t="n">
        <f aca="false">IFERROR(AVERAGEIFS(전체!U2:U25,전체!A2:A25,$A4,전체!B2:B25,$B4),"-")</f>
        <v>20.1269</v>
      </c>
      <c r="W4" s="6" t="n">
        <f aca="false">IFERROR(AVERAGEIFS(전체!V2:V25,전체!A2:A25,$A4,전체!B2:B25,$B4),"-")</f>
        <v>7344.33333333333</v>
      </c>
      <c r="X4" s="6" t="n">
        <f aca="false">IFERROR(AVERAGEIFS(전체!W2:W25,전체!A2:A25,$A4,전체!B2:B25,$B4),"-")</f>
        <v>5146</v>
      </c>
      <c r="Y4" s="6" t="str">
        <f aca="false">IFERROR(AVERAGEIFS(전체!X2:X25,전체!A2:A25,$A4,전체!B2:B25,$B4),"-")</f>
        <v>-</v>
      </c>
      <c r="Z4" s="6" t="str">
        <f aca="false">IFERROR(AVERAGEIFS(전체!Y2:Y25,전체!A2:A25,$A4,전체!B2:B25,$B4),"-")</f>
        <v>-</v>
      </c>
      <c r="AA4" s="6" t="str">
        <f aca="false">IFERROR(AVERAGEIFS(전체!Z2:Z25,전체!A2:A25,$A4,전체!B2:B25,$B4),"-")</f>
        <v>-</v>
      </c>
      <c r="AB4" s="6" t="n">
        <f aca="false">IFERROR(AVERAGEIFS(전체!AA2:AA25,전체!A2:A25,$A4,전체!B2:B25,$B4),"-")</f>
        <v>35.6278666666667</v>
      </c>
      <c r="AC4" s="6" t="str">
        <f aca="false">IFERROR(AVERAGEIFS(전체!AB2:AB25,전체!A2:A25,$A4,전체!B2:B25,$B4),"-")</f>
        <v>-</v>
      </c>
      <c r="AD4" s="6" t="str">
        <f aca="false">IFERROR(AVERAGEIFS(전체!AC2:AC25,전체!A2:A25,$A4,전체!B2:B25,$B4),"-")</f>
        <v>-</v>
      </c>
      <c r="AE4" s="6" t="str">
        <f aca="false">IFERROR(AVERAGEIFS(전체!AD2:AD25,전체!A2:A25,$A4,전체!B2:B25,$B4),"-")</f>
        <v>-</v>
      </c>
      <c r="AF4" s="6" t="str">
        <f aca="false">IFERROR(AVERAGEIFS(전체!AE2:AE25,전체!A2:A25,$A4,전체!B2:B25,$B4),"-")</f>
        <v>-</v>
      </c>
      <c r="AG4" s="6" t="str">
        <f aca="false">IFERROR(AVERAGEIFS(전체!AF2:AF25,전체!A2:A25,$A4,전체!B2:B25,$B4),"-")</f>
        <v>-</v>
      </c>
      <c r="AH4" s="6" t="str">
        <f aca="false">IFERROR(AVERAGEIFS(전체!AG2:AG25,전체!A2:A25,$A4,전체!B2:B25,$B4),"-")</f>
        <v>-</v>
      </c>
      <c r="AI4" s="6" t="str">
        <f aca="false">IFERROR(AVERAGEIFS(전체!AH2:AH25,전체!A2:A25,$A4,전체!B2:B25,$B4),"-")</f>
        <v>-</v>
      </c>
      <c r="AJ4" s="6" t="str">
        <f aca="false">IFERROR(AVERAGEIFS(전체!AI2:AI25,전체!A2:A25,$A4,전체!B2:B25,$B4),"-")</f>
        <v>-</v>
      </c>
      <c r="AK4" s="6" t="str">
        <f aca="false">IFERROR(AVERAGEIFS(전체!AJ2:AJ25,전체!A2:A25,$A4,전체!B2:B25,$B4),"-")</f>
        <v>-</v>
      </c>
      <c r="AL4" s="6" t="str">
        <f aca="false">IFERROR(AVERAGEIFS(전체!AK2:AK25,전체!A2:A25,$A4,전체!B2:B25,$B4),"-")</f>
        <v>-</v>
      </c>
      <c r="AM4" s="6" t="str">
        <f aca="false">IFERROR(AVERAGEIFS(전체!AL2:AL25,전체!A2:A25,$A4,전체!B2:B25,$B4),"-")</f>
        <v>-</v>
      </c>
      <c r="AN4" s="6" t="str">
        <f aca="false">IFERROR(AVERAGEIFS(전체!AM2:AM25,전체!A2:A25,$A4,전체!B2:B25,$B4),"-")</f>
        <v>-</v>
      </c>
      <c r="AO4" s="6" t="n">
        <f aca="false">IFERROR(AVERAGEIFS(전체!AN2:AN25,전체!A2:A25,$A4,전체!B2:B25,$B4),"-")</f>
        <v>35.6019666666667</v>
      </c>
      <c r="AP4" s="6" t="str">
        <f aca="false">IFERROR(AVERAGEIFS(전체!AO2:AO25,전체!A2:A25,$A4,전체!B2:B25,$B4),"-")</f>
        <v>-</v>
      </c>
      <c r="AQ4" s="6" t="n">
        <f aca="false">IFERROR(AVERAGEIFS(전체!AP2:AP25,전체!A2:A25,$A4,전체!B2:B25,$B4),"-")</f>
        <v>35.6014</v>
      </c>
      <c r="AR4" s="6" t="n">
        <f aca="false">IFERROR(AVERAGEIFS(전체!AQ2:AQ25,전체!A2:A25,$A4,전체!B2:B25,$B4),"-")</f>
        <v>4.96862666666667</v>
      </c>
      <c r="AS4" s="6" t="str">
        <f aca="false">IFERROR(AVERAGEIFS(전체!AR2:AR25,전체!A2:A25,$A4,전체!B2:B25,$B4),"-")</f>
        <v>-</v>
      </c>
      <c r="AT4" s="6" t="n">
        <f aca="false">IFERROR(AVERAGEIFS(전체!AS2:AS25,전체!A2:A25,$A4,전체!B2:B25,$B4),"-")</f>
        <v>5.80181666666667</v>
      </c>
      <c r="AU4" s="6" t="n">
        <f aca="false">IFERROR(AVERAGEIFS(전체!AT2:AT25,전체!A2:A25,$A4,전체!B2:B25,$B4),"-")</f>
        <v>0.00915412666666667</v>
      </c>
      <c r="AV4" s="6" t="str">
        <f aca="false">IFERROR(AVERAGEIFS(전체!AU2:AU25,전체!A2:A25,$A4,전체!B2:B25,$B4),"-")</f>
        <v>-</v>
      </c>
      <c r="AW4" s="6" t="n">
        <f aca="false">IFERROR(AVERAGEIFS(전체!AV2:AV25,전체!A2:A25,$A4,전체!B2:B25,$B4),"-")</f>
        <v>0.157699333333333</v>
      </c>
      <c r="AX4" s="6" t="n">
        <f aca="false">IFERROR(AVERAGEIFS(전체!AW2:AW25,전체!A2:A25,$A4,전체!B2:B25,$B4),"-")</f>
        <v>485.697</v>
      </c>
      <c r="AY4" s="6" t="str">
        <f aca="false">IFERROR(AVERAGEIFS(전체!AX2:AX25,전체!A2:A25,$A4,전체!B2:B25,$B4),"-")</f>
        <v>-</v>
      </c>
      <c r="AZ4" s="6" t="n">
        <f aca="false">IFERROR(AVERAGEIFS(전체!AY2:AY25,전체!A2:A25,$A4,전체!B2:B25,$B4),"-")</f>
        <v>479.820666666667</v>
      </c>
    </row>
    <row r="5" customFormat="false" ht="15" hidden="false" customHeight="false" outlineLevel="0" collapsed="false">
      <c r="A5" s="5" t="s">
        <v>83</v>
      </c>
      <c r="B5" s="5" t="s">
        <v>84</v>
      </c>
      <c r="C5" s="5" t="n">
        <f aca="false">COUNTIFS(전체!A2:A25,$A5,전체!B2:B25,$B5)</f>
        <v>3</v>
      </c>
      <c r="D5" s="6" t="n">
        <f aca="false">IFERROR(AVERAGEIFS(전체!C2:C25,전체!A2:A25,$A5,전체!B2:B25,$B5),"-")</f>
        <v>4.33333333333333</v>
      </c>
      <c r="E5" s="6" t="n">
        <f aca="false">IFERROR(AVERAGEIFS(전체!D2:D25,전체!A2:A25,$A5,전체!B2:B25,$B5),"-")</f>
        <v>1</v>
      </c>
      <c r="F5" s="6" t="n">
        <f aca="false">IFERROR(AVERAGEIFS(전체!E2:E25,전체!A2:A25,$A5,전체!B2:B25,$B5),"-")</f>
        <v>1</v>
      </c>
      <c r="G5" s="6" t="n">
        <f aca="false">IFERROR(AVERAGEIFS(전체!F2:F25,전체!A2:A25,$A5,전체!B2:B25,$B5),"-")</f>
        <v>1</v>
      </c>
      <c r="H5" s="6" t="n">
        <f aca="false">IFERROR(AVERAGEIFS(전체!G2:G25,전체!A2:A25,$A5,전체!B2:B25,$B5),"-")</f>
        <v>1</v>
      </c>
      <c r="I5" s="6" t="n">
        <f aca="false">IFERROR(AVERAGEIFS(전체!H2:H25,전체!A2:A25,$A5,전체!B2:B25,$B5),"-")</f>
        <v>1</v>
      </c>
      <c r="J5" s="6" t="n">
        <f aca="false">IFERROR(AVERAGEIFS(전체!I2:I25,전체!A2:A25,$A5,전체!B2:B25,$B5),"-")</f>
        <v>1</v>
      </c>
      <c r="K5" s="6" t="n">
        <f aca="false">IFERROR(AVERAGEIFS(전체!J2:J25,전체!A2:A25,$A5,전체!B2:B25,$B5),"-")</f>
        <v>1</v>
      </c>
      <c r="L5" s="6" t="n">
        <f aca="false">IFERROR(AVERAGEIFS(전체!K2:K25,전체!A2:A25,$A5,전체!B2:B25,$B5),"-")</f>
        <v>1</v>
      </c>
      <c r="M5" s="6" t="n">
        <f aca="false">IFERROR(AVERAGEIFS(전체!L2:L25,전체!A2:A25,$A5,전체!B2:B25,$B5),"-")</f>
        <v>1</v>
      </c>
      <c r="N5" s="6" t="n">
        <f aca="false">IFERROR(AVERAGEIFS(전체!M2:M25,전체!A2:A25,$A5,전체!B2:B25,$B5),"-")</f>
        <v>0</v>
      </c>
      <c r="O5" s="6" t="n">
        <f aca="false">IFERROR(AVERAGEIFS(전체!N2:N25,전체!A2:A25,$A5,전체!B2:B25,$B5),"-")</f>
        <v>0</v>
      </c>
      <c r="P5" s="6" t="n">
        <f aca="false">IFERROR(AVERAGEIFS(전체!O2:O25,전체!A2:A25,$A5,전체!B2:B25,$B5),"-")</f>
        <v>0</v>
      </c>
      <c r="Q5" s="6" t="n">
        <f aca="false">IFERROR(AVERAGEIFS(전체!P2:P25,전체!A2:A25,$A5,전체!B2:B25,$B5),"-")</f>
        <v>0</v>
      </c>
      <c r="R5" s="6" t="n">
        <f aca="false">IFERROR(AVERAGEIFS(전체!Q2:Q25,전체!A2:A25,$A5,전체!B2:B25,$B5),"-")</f>
        <v>695.468333333333</v>
      </c>
      <c r="S5" s="6" t="n">
        <f aca="false">IFERROR(AVERAGEIFS(전체!R2:R25,전체!A2:A25,$A5,전체!B2:B25,$B5),"-")</f>
        <v>716.247</v>
      </c>
      <c r="T5" s="6" t="n">
        <f aca="false">IFERROR(AVERAGEIFS(전체!S2:S25,전체!A2:A25,$A5,전체!B2:B25,$B5),"-")</f>
        <v>689.627666666667</v>
      </c>
      <c r="U5" s="6" t="n">
        <f aca="false">IFERROR(AVERAGEIFS(전체!T2:T25,전체!A2:A25,$A5,전체!B2:B25,$B5),"-")</f>
        <v>40.1587333333333</v>
      </c>
      <c r="V5" s="6" t="n">
        <f aca="false">IFERROR(AVERAGEIFS(전체!U2:U25,전체!A2:A25,$A5,전체!B2:B25,$B5),"-")</f>
        <v>21.0762</v>
      </c>
      <c r="W5" s="6" t="n">
        <f aca="false">IFERROR(AVERAGEIFS(전체!V2:V25,전체!A2:A25,$A5,전체!B2:B25,$B5),"-")</f>
        <v>14975.3333333333</v>
      </c>
      <c r="X5" s="6" t="n">
        <f aca="false">IFERROR(AVERAGEIFS(전체!W2:W25,전체!A2:A25,$A5,전체!B2:B25,$B5),"-")</f>
        <v>14178.3333333333</v>
      </c>
      <c r="Y5" s="6" t="str">
        <f aca="false">IFERROR(AVERAGEIFS(전체!X2:X25,전체!A2:A25,$A5,전체!B2:B25,$B5),"-")</f>
        <v>-</v>
      </c>
      <c r="Z5" s="6" t="str">
        <f aca="false">IFERROR(AVERAGEIFS(전체!Y2:Y25,전체!A2:A25,$A5,전체!B2:B25,$B5),"-")</f>
        <v>-</v>
      </c>
      <c r="AA5" s="6" t="str">
        <f aca="false">IFERROR(AVERAGEIFS(전체!Z2:Z25,전체!A2:A25,$A5,전체!B2:B25,$B5),"-")</f>
        <v>-</v>
      </c>
      <c r="AB5" s="6" t="n">
        <f aca="false">IFERROR(AVERAGEIFS(전체!AA2:AA25,전체!A2:A25,$A5,전체!B2:B25,$B5),"-")</f>
        <v>51.9439</v>
      </c>
      <c r="AC5" s="6" t="str">
        <f aca="false">IFERROR(AVERAGEIFS(전체!AB2:AB25,전체!A2:A25,$A5,전체!B2:B25,$B5),"-")</f>
        <v>-</v>
      </c>
      <c r="AD5" s="6" t="str">
        <f aca="false">IFERROR(AVERAGEIFS(전체!AC2:AC25,전체!A2:A25,$A5,전체!B2:B25,$B5),"-")</f>
        <v>-</v>
      </c>
      <c r="AE5" s="6" t="str">
        <f aca="false">IFERROR(AVERAGEIFS(전체!AD2:AD25,전체!A2:A25,$A5,전체!B2:B25,$B5),"-")</f>
        <v>-</v>
      </c>
      <c r="AF5" s="6" t="str">
        <f aca="false">IFERROR(AVERAGEIFS(전체!AE2:AE25,전체!A2:A25,$A5,전체!B2:B25,$B5),"-")</f>
        <v>-</v>
      </c>
      <c r="AG5" s="6" t="str">
        <f aca="false">IFERROR(AVERAGEIFS(전체!AF2:AF25,전체!A2:A25,$A5,전체!B2:B25,$B5),"-")</f>
        <v>-</v>
      </c>
      <c r="AH5" s="6" t="str">
        <f aca="false">IFERROR(AVERAGEIFS(전체!AG2:AG25,전체!A2:A25,$A5,전체!B2:B25,$B5),"-")</f>
        <v>-</v>
      </c>
      <c r="AI5" s="6" t="str">
        <f aca="false">IFERROR(AVERAGEIFS(전체!AH2:AH25,전체!A2:A25,$A5,전체!B2:B25,$B5),"-")</f>
        <v>-</v>
      </c>
      <c r="AJ5" s="6" t="str">
        <f aca="false">IFERROR(AVERAGEIFS(전체!AI2:AI25,전체!A2:A25,$A5,전체!B2:B25,$B5),"-")</f>
        <v>-</v>
      </c>
      <c r="AK5" s="6" t="str">
        <f aca="false">IFERROR(AVERAGEIFS(전체!AJ2:AJ25,전체!A2:A25,$A5,전체!B2:B25,$B5),"-")</f>
        <v>-</v>
      </c>
      <c r="AL5" s="6" t="str">
        <f aca="false">IFERROR(AVERAGEIFS(전체!AK2:AK25,전체!A2:A25,$A5,전체!B2:B25,$B5),"-")</f>
        <v>-</v>
      </c>
      <c r="AM5" s="6" t="str">
        <f aca="false">IFERROR(AVERAGEIFS(전체!AL2:AL25,전체!A2:A25,$A5,전체!B2:B25,$B5),"-")</f>
        <v>-</v>
      </c>
      <c r="AN5" s="6" t="str">
        <f aca="false">IFERROR(AVERAGEIFS(전체!AM2:AM25,전체!A2:A25,$A5,전체!B2:B25,$B5),"-")</f>
        <v>-</v>
      </c>
      <c r="AO5" s="6" t="n">
        <f aca="false">IFERROR(AVERAGEIFS(전체!AN2:AN25,전체!A2:A25,$A5,전체!B2:B25,$B5),"-")</f>
        <v>51.7938333333333</v>
      </c>
      <c r="AP5" s="6" t="n">
        <f aca="false">IFERROR(AVERAGEIFS(전체!AO2:AO25,전체!A2:A25,$A5,전체!B2:B25,$B5),"-")</f>
        <v>51.7690666666667</v>
      </c>
      <c r="AQ5" s="6" t="n">
        <f aca="false">IFERROR(AVERAGEIFS(전체!AP2:AP25,전체!A2:A25,$A5,전체!B2:B25,$B5),"-")</f>
        <v>51.7836</v>
      </c>
      <c r="AR5" s="6" t="n">
        <f aca="false">IFERROR(AVERAGEIFS(전체!AQ2:AQ25,전체!A2:A25,$A5,전체!B2:B25,$B5),"-")</f>
        <v>5.57079666666667</v>
      </c>
      <c r="AS5" s="6" t="n">
        <f aca="false">IFERROR(AVERAGEIFS(전체!AR2:AR25,전체!A2:A25,$A5,전체!B2:B25,$B5),"-")</f>
        <v>5.70197</v>
      </c>
      <c r="AT5" s="6" t="n">
        <f aca="false">IFERROR(AVERAGEIFS(전체!AS2:AS25,전체!A2:A25,$A5,전체!B2:B25,$B5),"-")</f>
        <v>7.10191666666667</v>
      </c>
      <c r="AU5" s="6" t="n">
        <f aca="false">IFERROR(AVERAGEIFS(전체!AT2:AT25,전체!A2:A25,$A5,전체!B2:B25,$B5),"-")</f>
        <v>0.0104777333333333</v>
      </c>
      <c r="AV5" s="6" t="n">
        <f aca="false">IFERROR(AVERAGEIFS(전체!AU2:AU25,전체!A2:A25,$A5,전체!B2:B25,$B5),"-")</f>
        <v>39.0575</v>
      </c>
      <c r="AW5" s="6" t="n">
        <f aca="false">IFERROR(AVERAGEIFS(전체!AV2:AV25,전체!A2:A25,$A5,전체!B2:B25,$B5),"-")</f>
        <v>0.173944666666667</v>
      </c>
      <c r="AX5" s="6" t="n">
        <f aca="false">IFERROR(AVERAGEIFS(전체!AW2:AW25,전체!A2:A25,$A5,전체!B2:B25,$B5),"-")</f>
        <v>701.049666666667</v>
      </c>
      <c r="AY5" s="6" t="n">
        <f aca="false">IFERROR(AVERAGEIFS(전체!AX2:AX25,전체!A2:A25,$A5,전체!B2:B25,$B5),"-")</f>
        <v>761.006333333333</v>
      </c>
      <c r="AZ5" s="6" t="n">
        <f aca="false">IFERROR(AVERAGEIFS(전체!AY2:AY25,전체!A2:A25,$A5,전체!B2:B25,$B5),"-")</f>
        <v>696.904</v>
      </c>
    </row>
    <row r="6" customFormat="false" ht="15" hidden="false" customHeight="false" outlineLevel="0" collapsed="false">
      <c r="A6" s="5" t="s">
        <v>89</v>
      </c>
      <c r="B6" s="5" t="s">
        <v>86</v>
      </c>
      <c r="C6" s="5" t="n">
        <f aca="false">COUNTIFS(전체!A2:A25,$A6,전체!B2:B25,$B6)</f>
        <v>3</v>
      </c>
      <c r="D6" s="6" t="n">
        <f aca="false">IFERROR(AVERAGEIFS(전체!C2:C25,전체!A2:A25,$A6,전체!B2:B25,$B6),"-")</f>
        <v>2</v>
      </c>
      <c r="E6" s="6" t="n">
        <f aca="false">IFERROR(AVERAGEIFS(전체!D2:D25,전체!A2:A25,$A6,전체!B2:B25,$B6),"-")</f>
        <v>1</v>
      </c>
      <c r="F6" s="6" t="n">
        <f aca="false">IFERROR(AVERAGEIFS(전체!E2:E25,전체!A2:A25,$A6,전체!B2:B25,$B6),"-")</f>
        <v>0</v>
      </c>
      <c r="G6" s="6" t="n">
        <f aca="false">IFERROR(AVERAGEIFS(전체!F2:F25,전체!A2:A25,$A6,전체!B2:B25,$B6),"-")</f>
        <v>0</v>
      </c>
      <c r="H6" s="6" t="n">
        <f aca="false">IFERROR(AVERAGEIFS(전체!G2:G25,전체!A2:A25,$A6,전체!B2:B25,$B6),"-")</f>
        <v>1</v>
      </c>
      <c r="I6" s="6" t="n">
        <f aca="false">IFERROR(AVERAGEIFS(전체!H2:H25,전체!A2:A25,$A6,전체!B2:B25,$B6),"-")</f>
        <v>1</v>
      </c>
      <c r="J6" s="6" t="n">
        <f aca="false">IFERROR(AVERAGEIFS(전체!I2:I25,전체!A2:A25,$A6,전체!B2:B25,$B6),"-")</f>
        <v>1</v>
      </c>
      <c r="K6" s="6" t="n">
        <f aca="false">IFERROR(AVERAGEIFS(전체!J2:J25,전체!A2:A25,$A6,전체!B2:B25,$B6),"-")</f>
        <v>1</v>
      </c>
      <c r="L6" s="6" t="n">
        <f aca="false">IFERROR(AVERAGEIFS(전체!K2:K25,전체!A2:A25,$A6,전체!B2:B25,$B6),"-")</f>
        <v>1</v>
      </c>
      <c r="M6" s="6" t="n">
        <f aca="false">IFERROR(AVERAGEIFS(전체!L2:L25,전체!A2:A25,$A6,전체!B2:B25,$B6),"-")</f>
        <v>1</v>
      </c>
      <c r="N6" s="6" t="n">
        <f aca="false">IFERROR(AVERAGEIFS(전체!M2:M25,전체!A2:A25,$A6,전체!B2:B25,$B6),"-")</f>
        <v>0</v>
      </c>
      <c r="O6" s="6" t="n">
        <f aca="false">IFERROR(AVERAGEIFS(전체!N2:N25,전체!A2:A25,$A6,전체!B2:B25,$B6),"-")</f>
        <v>0</v>
      </c>
      <c r="P6" s="6" t="n">
        <f aca="false">IFERROR(AVERAGEIFS(전체!O2:O25,전체!A2:A25,$A6,전체!B2:B25,$B6),"-")</f>
        <v>0</v>
      </c>
      <c r="Q6" s="6" t="n">
        <f aca="false">IFERROR(AVERAGEIFS(전체!P2:P25,전체!A2:A25,$A6,전체!B2:B25,$B6),"-")</f>
        <v>0</v>
      </c>
      <c r="R6" s="6" t="n">
        <f aca="false">IFERROR(AVERAGEIFS(전체!Q2:Q25,전체!A2:A25,$A6,전체!B2:B25,$B6),"-")</f>
        <v>4.61993333333333</v>
      </c>
      <c r="S6" s="6" t="str">
        <f aca="false">IFERROR(AVERAGEIFS(전체!R2:R25,전체!A2:A25,$A6,전체!B2:B25,$B6),"-")</f>
        <v>-</v>
      </c>
      <c r="T6" s="6" t="str">
        <f aca="false">IFERROR(AVERAGEIFS(전체!S2:S25,전체!A2:A25,$A6,전체!B2:B25,$B6),"-")</f>
        <v>-</v>
      </c>
      <c r="U6" s="6" t="n">
        <f aca="false">IFERROR(AVERAGEIFS(전체!T2:T25,전체!A2:A25,$A6,전체!B2:B25,$B6),"-")</f>
        <v>55.8984666666667</v>
      </c>
      <c r="V6" s="6" t="n">
        <f aca="false">IFERROR(AVERAGEIFS(전체!U2:U25,전체!A2:A25,$A6,전체!B2:B25,$B6),"-")</f>
        <v>12.1374333333333</v>
      </c>
      <c r="W6" s="6" t="n">
        <f aca="false">IFERROR(AVERAGEIFS(전체!V2:V25,전체!A2:A25,$A6,전체!B2:B25,$B6),"-")</f>
        <v>1015.33333333333</v>
      </c>
      <c r="X6" s="6" t="n">
        <f aca="false">IFERROR(AVERAGEIFS(전체!W2:W25,전체!A2:A25,$A6,전체!B2:B25,$B6),"-")</f>
        <v>88.6666666666667</v>
      </c>
      <c r="Y6" s="6" t="str">
        <f aca="false">IFERROR(AVERAGEIFS(전체!X2:X25,전체!A2:A25,$A6,전체!B2:B25,$B6),"-")</f>
        <v>-</v>
      </c>
      <c r="Z6" s="6" t="str">
        <f aca="false">IFERROR(AVERAGEIFS(전체!Y2:Y25,전체!A2:A25,$A6,전체!B2:B25,$B6),"-")</f>
        <v>-</v>
      </c>
      <c r="AA6" s="6" t="str">
        <f aca="false">IFERROR(AVERAGEIFS(전체!Z2:Z25,전체!A2:A25,$A6,전체!B2:B25,$B6),"-")</f>
        <v>-</v>
      </c>
      <c r="AB6" s="6" t="n">
        <f aca="false">IFERROR(AVERAGEIFS(전체!AA2:AA25,전체!A2:A25,$A6,전체!B2:B25,$B6),"-")</f>
        <v>3.50533</v>
      </c>
      <c r="AC6" s="6" t="str">
        <f aca="false">IFERROR(AVERAGEIFS(전체!AB2:AB25,전체!A2:A25,$A6,전체!B2:B25,$B6),"-")</f>
        <v>-</v>
      </c>
      <c r="AD6" s="6" t="str">
        <f aca="false">IFERROR(AVERAGEIFS(전체!AC2:AC25,전체!A2:A25,$A6,전체!B2:B25,$B6),"-")</f>
        <v>-</v>
      </c>
      <c r="AE6" s="6" t="str">
        <f aca="false">IFERROR(AVERAGEIFS(전체!AD2:AD25,전체!A2:A25,$A6,전체!B2:B25,$B6),"-")</f>
        <v>-</v>
      </c>
      <c r="AF6" s="6" t="str">
        <f aca="false">IFERROR(AVERAGEIFS(전체!AE2:AE25,전체!A2:A25,$A6,전체!B2:B25,$B6),"-")</f>
        <v>-</v>
      </c>
      <c r="AG6" s="6" t="str">
        <f aca="false">IFERROR(AVERAGEIFS(전체!AF2:AF25,전체!A2:A25,$A6,전체!B2:B25,$B6),"-")</f>
        <v>-</v>
      </c>
      <c r="AH6" s="6" t="str">
        <f aca="false">IFERROR(AVERAGEIFS(전체!AG2:AG25,전체!A2:A25,$A6,전체!B2:B25,$B6),"-")</f>
        <v>-</v>
      </c>
      <c r="AI6" s="6" t="str">
        <f aca="false">IFERROR(AVERAGEIFS(전체!AH2:AH25,전체!A2:A25,$A6,전체!B2:B25,$B6),"-")</f>
        <v>-</v>
      </c>
      <c r="AJ6" s="6" t="str">
        <f aca="false">IFERROR(AVERAGEIFS(전체!AI2:AI25,전체!A2:A25,$A6,전체!B2:B25,$B6),"-")</f>
        <v>-</v>
      </c>
      <c r="AK6" s="6" t="str">
        <f aca="false">IFERROR(AVERAGEIFS(전체!AJ2:AJ25,전체!A2:A25,$A6,전체!B2:B25,$B6),"-")</f>
        <v>-</v>
      </c>
      <c r="AL6" s="6" t="str">
        <f aca="false">IFERROR(AVERAGEIFS(전체!AK2:AK25,전체!A2:A25,$A6,전체!B2:B25,$B6),"-")</f>
        <v>-</v>
      </c>
      <c r="AM6" s="6" t="str">
        <f aca="false">IFERROR(AVERAGEIFS(전체!AL2:AL25,전체!A2:A25,$A6,전체!B2:B25,$B6),"-")</f>
        <v>-</v>
      </c>
      <c r="AN6" s="6" t="str">
        <f aca="false">IFERROR(AVERAGEIFS(전체!AM2:AM25,전체!A2:A25,$A6,전체!B2:B25,$B6),"-")</f>
        <v>-</v>
      </c>
      <c r="AO6" s="6" t="n">
        <f aca="false">IFERROR(AVERAGEIFS(전체!AN2:AN25,전체!A2:A25,$A6,전체!B2:B25,$B6),"-")</f>
        <v>3.49331333333333</v>
      </c>
      <c r="AP6" s="6" t="str">
        <f aca="false">IFERROR(AVERAGEIFS(전체!AO2:AO25,전체!A2:A25,$A6,전체!B2:B25,$B6),"-")</f>
        <v>-</v>
      </c>
      <c r="AQ6" s="6" t="str">
        <f aca="false">IFERROR(AVERAGEIFS(전체!AP2:AP25,전체!A2:A25,$A6,전체!B2:B25,$B6),"-")</f>
        <v>-</v>
      </c>
      <c r="AR6" s="6" t="n">
        <f aca="false">IFERROR(AVERAGEIFS(전체!AQ2:AQ25,전체!A2:A25,$A6,전체!B2:B25,$B6),"-")</f>
        <v>4.49222666666667</v>
      </c>
      <c r="AS6" s="6" t="str">
        <f aca="false">IFERROR(AVERAGEIFS(전체!AR2:AR25,전체!A2:A25,$A6,전체!B2:B25,$B6),"-")</f>
        <v>-</v>
      </c>
      <c r="AT6" s="6" t="str">
        <f aca="false">IFERROR(AVERAGEIFS(전체!AS2:AS25,전체!A2:A25,$A6,전체!B2:B25,$B6),"-")</f>
        <v>-</v>
      </c>
      <c r="AU6" s="6" t="n">
        <f aca="false">IFERROR(AVERAGEIFS(전체!AT2:AT25,전체!A2:A25,$A6,전체!B2:B25,$B6),"-")</f>
        <v>0.00789122</v>
      </c>
      <c r="AV6" s="6" t="str">
        <f aca="false">IFERROR(AVERAGEIFS(전체!AU2:AU25,전체!A2:A25,$A6,전체!B2:B25,$B6),"-")</f>
        <v>-</v>
      </c>
      <c r="AW6" s="6" t="str">
        <f aca="false">IFERROR(AVERAGEIFS(전체!AV2:AV25,전체!A2:A25,$A6,전체!B2:B25,$B6),"-")</f>
        <v>-</v>
      </c>
      <c r="AX6" s="6" t="n">
        <f aca="false">IFERROR(AVERAGEIFS(전체!AW2:AW25,전체!A2:A25,$A6,전체!B2:B25,$B6),"-")</f>
        <v>9.12005333333333</v>
      </c>
      <c r="AY6" s="6" t="str">
        <f aca="false">IFERROR(AVERAGEIFS(전체!AX2:AX25,전체!A2:A25,$A6,전체!B2:B25,$B6),"-")</f>
        <v>-</v>
      </c>
      <c r="AZ6" s="6" t="str">
        <f aca="false">IFERROR(AVERAGEIFS(전체!AY2:AY25,전체!A2:A25,$A6,전체!B2:B25,$B6),"-")</f>
        <v>-</v>
      </c>
    </row>
    <row r="7" customFormat="false" ht="15" hidden="false" customHeight="false" outlineLevel="0" collapsed="false">
      <c r="A7" s="5" t="s">
        <v>89</v>
      </c>
      <c r="B7" s="5" t="s">
        <v>87</v>
      </c>
      <c r="C7" s="5" t="n">
        <f aca="false">COUNTIFS(전체!A2:A25,$A7,전체!B2:B25,$B7)</f>
        <v>3</v>
      </c>
      <c r="D7" s="6" t="n">
        <f aca="false">IFERROR(AVERAGEIFS(전체!C2:C25,전체!A2:A25,$A7,전체!B2:B25,$B7),"-")</f>
        <v>5</v>
      </c>
      <c r="E7" s="6" t="n">
        <f aca="false">IFERROR(AVERAGEIFS(전체!D2:D25,전체!A2:A25,$A7,전체!B2:B25,$B7),"-")</f>
        <v>1</v>
      </c>
      <c r="F7" s="6" t="n">
        <f aca="false">IFERROR(AVERAGEIFS(전체!E2:E25,전체!A2:A25,$A7,전체!B2:B25,$B7),"-")</f>
        <v>1</v>
      </c>
      <c r="G7" s="6" t="n">
        <f aca="false">IFERROR(AVERAGEIFS(전체!F2:F25,전체!A2:A25,$A7,전체!B2:B25,$B7),"-")</f>
        <v>0</v>
      </c>
      <c r="H7" s="6" t="n">
        <f aca="false">IFERROR(AVERAGEIFS(전체!G2:G25,전체!A2:A25,$A7,전체!B2:B25,$B7),"-")</f>
        <v>1</v>
      </c>
      <c r="I7" s="6" t="n">
        <f aca="false">IFERROR(AVERAGEIFS(전체!H2:H25,전체!A2:A25,$A7,전체!B2:B25,$B7),"-")</f>
        <v>1</v>
      </c>
      <c r="J7" s="6" t="n">
        <f aca="false">IFERROR(AVERAGEIFS(전체!I2:I25,전체!A2:A25,$A7,전체!B2:B25,$B7),"-")</f>
        <v>1</v>
      </c>
      <c r="K7" s="6" t="n">
        <f aca="false">IFERROR(AVERAGEIFS(전체!J2:J25,전체!A2:A25,$A7,전체!B2:B25,$B7),"-")</f>
        <v>1</v>
      </c>
      <c r="L7" s="6" t="n">
        <f aca="false">IFERROR(AVERAGEIFS(전체!K2:K25,전체!A2:A25,$A7,전체!B2:B25,$B7),"-")</f>
        <v>1</v>
      </c>
      <c r="M7" s="6" t="n">
        <f aca="false">IFERROR(AVERAGEIFS(전체!L2:L25,전체!A2:A25,$A7,전체!B2:B25,$B7),"-")</f>
        <v>1</v>
      </c>
      <c r="N7" s="6" t="n">
        <f aca="false">IFERROR(AVERAGEIFS(전체!M2:M25,전체!A2:A25,$A7,전체!B2:B25,$B7),"-")</f>
        <v>0</v>
      </c>
      <c r="O7" s="6" t="n">
        <f aca="false">IFERROR(AVERAGEIFS(전체!N2:N25,전체!A2:A25,$A7,전체!B2:B25,$B7),"-")</f>
        <v>0</v>
      </c>
      <c r="P7" s="6" t="n">
        <f aca="false">IFERROR(AVERAGEIFS(전체!O2:O25,전체!A2:A25,$A7,전체!B2:B25,$B7),"-")</f>
        <v>0</v>
      </c>
      <c r="Q7" s="6" t="n">
        <f aca="false">IFERROR(AVERAGEIFS(전체!P2:P25,전체!A2:A25,$A7,전체!B2:B25,$B7),"-")</f>
        <v>0</v>
      </c>
      <c r="R7" s="6" t="n">
        <f aca="false">IFERROR(AVERAGEIFS(전체!Q2:Q25,전체!A2:A25,$A7,전체!B2:B25,$B7),"-")</f>
        <v>116.374333333333</v>
      </c>
      <c r="S7" s="6" t="n">
        <f aca="false">IFERROR(AVERAGEIFS(전체!R2:R25,전체!A2:A25,$A7,전체!B2:B25,$B7),"-")</f>
        <v>709.721333333333</v>
      </c>
      <c r="T7" s="6" t="str">
        <f aca="false">IFERROR(AVERAGEIFS(전체!S2:S25,전체!A2:A25,$A7,전체!B2:B25,$B7),"-")</f>
        <v>-</v>
      </c>
      <c r="U7" s="6" t="n">
        <f aca="false">IFERROR(AVERAGEIFS(전체!T2:T25,전체!A2:A25,$A7,전체!B2:B25,$B7),"-")</f>
        <v>38.9052</v>
      </c>
      <c r="V7" s="6" t="n">
        <f aca="false">IFERROR(AVERAGEIFS(전체!U2:U25,전체!A2:A25,$A7,전체!B2:B25,$B7),"-")</f>
        <v>12.407</v>
      </c>
      <c r="W7" s="6" t="n">
        <f aca="false">IFERROR(AVERAGEIFS(전체!V2:V25,전체!A2:A25,$A7,전체!B2:B25,$B7),"-")</f>
        <v>7959.33333333333</v>
      </c>
      <c r="X7" s="6" t="n">
        <f aca="false">IFERROR(AVERAGEIFS(전체!W2:W25,전체!A2:A25,$A7,전체!B2:B25,$B7),"-")</f>
        <v>3981.66666666667</v>
      </c>
      <c r="Y7" s="6" t="str">
        <f aca="false">IFERROR(AVERAGEIFS(전체!X2:X25,전체!A2:A25,$A7,전체!B2:B25,$B7),"-")</f>
        <v>-</v>
      </c>
      <c r="Z7" s="6" t="str">
        <f aca="false">IFERROR(AVERAGEIFS(전체!Y2:Y25,전체!A2:A25,$A7,전체!B2:B25,$B7),"-")</f>
        <v>-</v>
      </c>
      <c r="AA7" s="6" t="str">
        <f aca="false">IFERROR(AVERAGEIFS(전체!Z2:Z25,전체!A2:A25,$A7,전체!B2:B25,$B7),"-")</f>
        <v>-</v>
      </c>
      <c r="AB7" s="6" t="n">
        <f aca="false">IFERROR(AVERAGEIFS(전체!AA2:AA25,전체!A2:A25,$A7,전체!B2:B25,$B7),"-")</f>
        <v>27.6192666666667</v>
      </c>
      <c r="AC7" s="6" t="str">
        <f aca="false">IFERROR(AVERAGEIFS(전체!AB2:AB25,전체!A2:A25,$A7,전체!B2:B25,$B7),"-")</f>
        <v>-</v>
      </c>
      <c r="AD7" s="6" t="str">
        <f aca="false">IFERROR(AVERAGEIFS(전체!AC2:AC25,전체!A2:A25,$A7,전체!B2:B25,$B7),"-")</f>
        <v>-</v>
      </c>
      <c r="AE7" s="6" t="str">
        <f aca="false">IFERROR(AVERAGEIFS(전체!AD2:AD25,전체!A2:A25,$A7,전체!B2:B25,$B7),"-")</f>
        <v>-</v>
      </c>
      <c r="AF7" s="6" t="str">
        <f aca="false">IFERROR(AVERAGEIFS(전체!AE2:AE25,전체!A2:A25,$A7,전체!B2:B25,$B7),"-")</f>
        <v>-</v>
      </c>
      <c r="AG7" s="6" t="str">
        <f aca="false">IFERROR(AVERAGEIFS(전체!AF2:AF25,전체!A2:A25,$A7,전체!B2:B25,$B7),"-")</f>
        <v>-</v>
      </c>
      <c r="AH7" s="6" t="str">
        <f aca="false">IFERROR(AVERAGEIFS(전체!AG2:AG25,전체!A2:A25,$A7,전체!B2:B25,$B7),"-")</f>
        <v>-</v>
      </c>
      <c r="AI7" s="6" t="str">
        <f aca="false">IFERROR(AVERAGEIFS(전체!AH2:AH25,전체!A2:A25,$A7,전체!B2:B25,$B7),"-")</f>
        <v>-</v>
      </c>
      <c r="AJ7" s="6" t="str">
        <f aca="false">IFERROR(AVERAGEIFS(전체!AI2:AI25,전체!A2:A25,$A7,전체!B2:B25,$B7),"-")</f>
        <v>-</v>
      </c>
      <c r="AK7" s="6" t="str">
        <f aca="false">IFERROR(AVERAGEIFS(전체!AJ2:AJ25,전체!A2:A25,$A7,전체!B2:B25,$B7),"-")</f>
        <v>-</v>
      </c>
      <c r="AL7" s="6" t="str">
        <f aca="false">IFERROR(AVERAGEIFS(전체!AK2:AK25,전체!A2:A25,$A7,전체!B2:B25,$B7),"-")</f>
        <v>-</v>
      </c>
      <c r="AM7" s="6" t="str">
        <f aca="false">IFERROR(AVERAGEIFS(전체!AL2:AL25,전체!A2:A25,$A7,전체!B2:B25,$B7),"-")</f>
        <v>-</v>
      </c>
      <c r="AN7" s="6" t="str">
        <f aca="false">IFERROR(AVERAGEIFS(전체!AM2:AM25,전체!A2:A25,$A7,전체!B2:B25,$B7),"-")</f>
        <v>-</v>
      </c>
      <c r="AO7" s="6" t="n">
        <f aca="false">IFERROR(AVERAGEIFS(전체!AN2:AN25,전체!A2:A25,$A7,전체!B2:B25,$B7),"-")</f>
        <v>9.13912</v>
      </c>
      <c r="AP7" s="6" t="n">
        <f aca="false">IFERROR(AVERAGEIFS(전체!AO2:AO25,전체!A2:A25,$A7,전체!B2:B25,$B7),"-")</f>
        <v>27.4486333333333</v>
      </c>
      <c r="AQ7" s="6" t="str">
        <f aca="false">IFERROR(AVERAGEIFS(전체!AP2:AP25,전체!A2:A25,$A7,전체!B2:B25,$B7),"-")</f>
        <v>-</v>
      </c>
      <c r="AR7" s="6" t="n">
        <f aca="false">IFERROR(AVERAGEIFS(전체!AQ2:AQ25,전체!A2:A25,$A7,전체!B2:B25,$B7),"-")</f>
        <v>5.62213</v>
      </c>
      <c r="AS7" s="6" t="n">
        <f aca="false">IFERROR(AVERAGEIFS(전체!AR2:AR25,전체!A2:A25,$A7,전체!B2:B25,$B7),"-")</f>
        <v>5.68699333333333</v>
      </c>
      <c r="AT7" s="6" t="str">
        <f aca="false">IFERROR(AVERAGEIFS(전체!AS2:AS25,전체!A2:A25,$A7,전체!B2:B25,$B7),"-")</f>
        <v>-</v>
      </c>
      <c r="AU7" s="6" t="n">
        <f aca="false">IFERROR(AVERAGEIFS(전체!AT2:AT25,전체!A2:A25,$A7,전체!B2:B25,$B7),"-")</f>
        <v>0.0128266666666667</v>
      </c>
      <c r="AV7" s="6" t="n">
        <f aca="false">IFERROR(AVERAGEIFS(전체!AU2:AU25,전체!A2:A25,$A7,전체!B2:B25,$B7),"-")</f>
        <v>36.4541333333333</v>
      </c>
      <c r="AW7" s="6" t="str">
        <f aca="false">IFERROR(AVERAGEIFS(전체!AV2:AV25,전체!A2:A25,$A7,전체!B2:B25,$B7),"-")</f>
        <v>-</v>
      </c>
      <c r="AX7" s="6" t="n">
        <f aca="false">IFERROR(AVERAGEIFS(전체!AW2:AW25,전체!A2:A25,$A7,전체!B2:B25,$B7),"-")</f>
        <v>122.009</v>
      </c>
      <c r="AY7" s="6" t="n">
        <f aca="false">IFERROR(AVERAGEIFS(전체!AX2:AX25,전체!A2:A25,$A7,전체!B2:B25,$B7),"-")</f>
        <v>751.862333333333</v>
      </c>
      <c r="AZ7" s="6" t="str">
        <f aca="false">IFERROR(AVERAGEIFS(전체!AY2:AY25,전체!A2:A25,$A7,전체!B2:B25,$B7),"-")</f>
        <v>-</v>
      </c>
    </row>
    <row r="8" customFormat="false" ht="15" hidden="false" customHeight="false" outlineLevel="0" collapsed="false">
      <c r="A8" s="5" t="s">
        <v>89</v>
      </c>
      <c r="B8" s="5" t="s">
        <v>88</v>
      </c>
      <c r="C8" s="5" t="n">
        <f aca="false">COUNTIFS(전체!A2:A25,$A8,전체!B2:B25,$B8)</f>
        <v>3</v>
      </c>
      <c r="D8" s="6" t="n">
        <f aca="false">IFERROR(AVERAGEIFS(전체!C2:C25,전체!A2:A25,$A8,전체!B2:B25,$B8),"-")</f>
        <v>8</v>
      </c>
      <c r="E8" s="6" t="n">
        <f aca="false">IFERROR(AVERAGEIFS(전체!D2:D25,전체!A2:A25,$A8,전체!B2:B25,$B8),"-")</f>
        <v>1</v>
      </c>
      <c r="F8" s="6" t="n">
        <f aca="false">IFERROR(AVERAGEIFS(전체!E2:E25,전체!A2:A25,$A8,전체!B2:B25,$B8),"-")</f>
        <v>0</v>
      </c>
      <c r="G8" s="6" t="n">
        <f aca="false">IFERROR(AVERAGEIFS(전체!F2:F25,전체!A2:A25,$A8,전체!B2:B25,$B8),"-")</f>
        <v>1</v>
      </c>
      <c r="H8" s="6" t="n">
        <f aca="false">IFERROR(AVERAGEIFS(전체!G2:G25,전체!A2:A25,$A8,전체!B2:B25,$B8),"-")</f>
        <v>1</v>
      </c>
      <c r="I8" s="6" t="n">
        <f aca="false">IFERROR(AVERAGEIFS(전체!H2:H25,전체!A2:A25,$A8,전체!B2:B25,$B8),"-")</f>
        <v>1</v>
      </c>
      <c r="J8" s="6" t="n">
        <f aca="false">IFERROR(AVERAGEIFS(전체!I2:I25,전체!A2:A25,$A8,전체!B2:B25,$B8),"-")</f>
        <v>1</v>
      </c>
      <c r="K8" s="6" t="n">
        <f aca="false">IFERROR(AVERAGEIFS(전체!J2:J25,전체!A2:A25,$A8,전체!B2:B25,$B8),"-")</f>
        <v>1</v>
      </c>
      <c r="L8" s="6" t="n">
        <f aca="false">IFERROR(AVERAGEIFS(전체!K2:K25,전체!A2:A25,$A8,전체!B2:B25,$B8),"-")</f>
        <v>1</v>
      </c>
      <c r="M8" s="6" t="n">
        <f aca="false">IFERROR(AVERAGEIFS(전체!L2:L25,전체!A2:A25,$A8,전체!B2:B25,$B8),"-")</f>
        <v>1</v>
      </c>
      <c r="N8" s="6" t="n">
        <f aca="false">IFERROR(AVERAGEIFS(전체!M2:M25,전체!A2:A25,$A8,전체!B2:B25,$B8),"-")</f>
        <v>0</v>
      </c>
      <c r="O8" s="6" t="n">
        <f aca="false">IFERROR(AVERAGEIFS(전체!N2:N25,전체!A2:A25,$A8,전체!B2:B25,$B8),"-")</f>
        <v>0</v>
      </c>
      <c r="P8" s="6" t="n">
        <f aca="false">IFERROR(AVERAGEIFS(전체!O2:O25,전체!A2:A25,$A8,전체!B2:B25,$B8),"-")</f>
        <v>0</v>
      </c>
      <c r="Q8" s="6" t="n">
        <f aca="false">IFERROR(AVERAGEIFS(전체!P2:P25,전체!A2:A25,$A8,전체!B2:B25,$B8),"-")</f>
        <v>0</v>
      </c>
      <c r="R8" s="6" t="n">
        <f aca="false">IFERROR(AVERAGEIFS(전체!Q2:Q25,전체!A2:A25,$A8,전체!B2:B25,$B8),"-")</f>
        <v>316.385333333333</v>
      </c>
      <c r="S8" s="6" t="str">
        <f aca="false">IFERROR(AVERAGEIFS(전체!R2:R25,전체!A2:A25,$A8,전체!B2:B25,$B8),"-")</f>
        <v>-</v>
      </c>
      <c r="T8" s="6" t="n">
        <f aca="false">IFERROR(AVERAGEIFS(전체!S2:S25,전체!A2:A25,$A8,전체!B2:B25,$B8),"-")</f>
        <v>261.661</v>
      </c>
      <c r="U8" s="6" t="n">
        <f aca="false">IFERROR(AVERAGEIFS(전체!T2:T25,전체!A2:A25,$A8,전체!B2:B25,$B8),"-")</f>
        <v>23.7514</v>
      </c>
      <c r="V8" s="6" t="n">
        <f aca="false">IFERROR(AVERAGEIFS(전체!U2:U25,전체!A2:A25,$A8,전체!B2:B25,$B8),"-")</f>
        <v>11.6202666666667</v>
      </c>
      <c r="W8" s="6" t="n">
        <f aca="false">IFERROR(AVERAGEIFS(전체!V2:V25,전체!A2:A25,$A8,전체!B2:B25,$B8),"-")</f>
        <v>7586</v>
      </c>
      <c r="X8" s="6" t="n">
        <f aca="false">IFERROR(AVERAGEIFS(전체!W2:W25,전체!A2:A25,$A8,전체!B2:B25,$B8),"-")</f>
        <v>3125</v>
      </c>
      <c r="Y8" s="6" t="str">
        <f aca="false">IFERROR(AVERAGEIFS(전체!X2:X25,전체!A2:A25,$A8,전체!B2:B25,$B8),"-")</f>
        <v>-</v>
      </c>
      <c r="Z8" s="6" t="str">
        <f aca="false">IFERROR(AVERAGEIFS(전체!Y2:Y25,전체!A2:A25,$A8,전체!B2:B25,$B8),"-")</f>
        <v>-</v>
      </c>
      <c r="AA8" s="6" t="str">
        <f aca="false">IFERROR(AVERAGEIFS(전체!Z2:Z25,전체!A2:A25,$A8,전체!B2:B25,$B8),"-")</f>
        <v>-</v>
      </c>
      <c r="AB8" s="6" t="n">
        <f aca="false">IFERROR(AVERAGEIFS(전체!AA2:AA25,전체!A2:A25,$A8,전체!B2:B25,$B8),"-")</f>
        <v>19.6799</v>
      </c>
      <c r="AC8" s="6" t="str">
        <f aca="false">IFERROR(AVERAGEIFS(전체!AB2:AB25,전체!A2:A25,$A8,전체!B2:B25,$B8),"-")</f>
        <v>-</v>
      </c>
      <c r="AD8" s="6" t="str">
        <f aca="false">IFERROR(AVERAGEIFS(전체!AC2:AC25,전체!A2:A25,$A8,전체!B2:B25,$B8),"-")</f>
        <v>-</v>
      </c>
      <c r="AE8" s="6" t="str">
        <f aca="false">IFERROR(AVERAGEIFS(전체!AD2:AD25,전체!A2:A25,$A8,전체!B2:B25,$B8),"-")</f>
        <v>-</v>
      </c>
      <c r="AF8" s="6" t="str">
        <f aca="false">IFERROR(AVERAGEIFS(전체!AE2:AE25,전체!A2:A25,$A8,전체!B2:B25,$B8),"-")</f>
        <v>-</v>
      </c>
      <c r="AG8" s="6" t="str">
        <f aca="false">IFERROR(AVERAGEIFS(전체!AF2:AF25,전체!A2:A25,$A8,전체!B2:B25,$B8),"-")</f>
        <v>-</v>
      </c>
      <c r="AH8" s="6" t="str">
        <f aca="false">IFERROR(AVERAGEIFS(전체!AG2:AG25,전체!A2:A25,$A8,전체!B2:B25,$B8),"-")</f>
        <v>-</v>
      </c>
      <c r="AI8" s="6" t="str">
        <f aca="false">IFERROR(AVERAGEIFS(전체!AH2:AH25,전체!A2:A25,$A8,전체!B2:B25,$B8),"-")</f>
        <v>-</v>
      </c>
      <c r="AJ8" s="6" t="str">
        <f aca="false">IFERROR(AVERAGEIFS(전체!AI2:AI25,전체!A2:A25,$A8,전체!B2:B25,$B8),"-")</f>
        <v>-</v>
      </c>
      <c r="AK8" s="6" t="str">
        <f aca="false">IFERROR(AVERAGEIFS(전체!AJ2:AJ25,전체!A2:A25,$A8,전체!B2:B25,$B8),"-")</f>
        <v>-</v>
      </c>
      <c r="AL8" s="6" t="str">
        <f aca="false">IFERROR(AVERAGEIFS(전체!AK2:AK25,전체!A2:A25,$A8,전체!B2:B25,$B8),"-")</f>
        <v>-</v>
      </c>
      <c r="AM8" s="6" t="str">
        <f aca="false">IFERROR(AVERAGEIFS(전체!AL2:AL25,전체!A2:A25,$A8,전체!B2:B25,$B8),"-")</f>
        <v>-</v>
      </c>
      <c r="AN8" s="6" t="str">
        <f aca="false">IFERROR(AVERAGEIFS(전체!AM2:AM25,전체!A2:A25,$A8,전체!B2:B25,$B8),"-")</f>
        <v>-</v>
      </c>
      <c r="AO8" s="6" t="n">
        <f aca="false">IFERROR(AVERAGEIFS(전체!AN2:AN25,전체!A2:A25,$A8,전체!B2:B25,$B8),"-")</f>
        <v>19.666</v>
      </c>
      <c r="AP8" s="6" t="str">
        <f aca="false">IFERROR(AVERAGEIFS(전체!AO2:AO25,전체!A2:A25,$A8,전체!B2:B25,$B8),"-")</f>
        <v>-</v>
      </c>
      <c r="AQ8" s="6" t="n">
        <f aca="false">IFERROR(AVERAGEIFS(전체!AP2:AP25,전체!A2:A25,$A8,전체!B2:B25,$B8),"-")</f>
        <v>19.6551666666667</v>
      </c>
      <c r="AR8" s="6" t="n">
        <f aca="false">IFERROR(AVERAGEIFS(전체!AQ2:AQ25,전체!A2:A25,$A8,전체!B2:B25,$B8),"-")</f>
        <v>5.06597666666667</v>
      </c>
      <c r="AS8" s="6" t="str">
        <f aca="false">IFERROR(AVERAGEIFS(전체!AR2:AR25,전체!A2:A25,$A8,전체!B2:B25,$B8),"-")</f>
        <v>-</v>
      </c>
      <c r="AT8" s="6" t="n">
        <f aca="false">IFERROR(AVERAGEIFS(전체!AS2:AS25,전체!A2:A25,$A8,전체!B2:B25,$B8),"-")</f>
        <v>5.83007666666667</v>
      </c>
      <c r="AU8" s="6" t="n">
        <f aca="false">IFERROR(AVERAGEIFS(전체!AT2:AT25,전체!A2:A25,$A8,전체!B2:B25,$B8),"-")</f>
        <v>0.00758722</v>
      </c>
      <c r="AV8" s="6" t="str">
        <f aca="false">IFERROR(AVERAGEIFS(전체!AU2:AU25,전체!A2:A25,$A8,전체!B2:B25,$B8),"-")</f>
        <v>-</v>
      </c>
      <c r="AW8" s="6" t="n">
        <f aca="false">IFERROR(AVERAGEIFS(전체!AV2:AV25,전체!A2:A25,$A8,전체!B2:B25,$B8),"-")</f>
        <v>0.158304666666667</v>
      </c>
      <c r="AX8" s="6" t="n">
        <f aca="false">IFERROR(AVERAGEIFS(전체!AW2:AW25,전체!A2:A25,$A8,전체!B2:B25,$B8),"-")</f>
        <v>321.458666666667</v>
      </c>
      <c r="AY8" s="6" t="str">
        <f aca="false">IFERROR(AVERAGEIFS(전체!AX2:AX25,전체!A2:A25,$A8,전체!B2:B25,$B8),"-")</f>
        <v>-</v>
      </c>
      <c r="AZ8" s="6" t="n">
        <f aca="false">IFERROR(AVERAGEIFS(전체!AY2:AY25,전체!A2:A25,$A8,전체!B2:B25,$B8),"-")</f>
        <v>267.649666666667</v>
      </c>
    </row>
    <row r="9" customFormat="false" ht="15" hidden="false" customHeight="false" outlineLevel="0" collapsed="false">
      <c r="A9" s="5" t="s">
        <v>89</v>
      </c>
      <c r="B9" s="5" t="s">
        <v>84</v>
      </c>
      <c r="C9" s="5" t="n">
        <f aca="false">COUNTIFS(전체!A2:A25,$A9,전체!B2:B25,$B9)</f>
        <v>3</v>
      </c>
      <c r="D9" s="6" t="n">
        <f aca="false">IFERROR(AVERAGEIFS(전체!C2:C25,전체!A2:A25,$A9,전체!B2:B25,$B9),"-")</f>
        <v>11</v>
      </c>
      <c r="E9" s="6" t="n">
        <f aca="false">IFERROR(AVERAGEIFS(전체!D2:D25,전체!A2:A25,$A9,전체!B2:B25,$B9),"-")</f>
        <v>1</v>
      </c>
      <c r="F9" s="6" t="n">
        <f aca="false">IFERROR(AVERAGEIFS(전체!E2:E25,전체!A2:A25,$A9,전체!B2:B25,$B9),"-")</f>
        <v>1</v>
      </c>
      <c r="G9" s="6" t="n">
        <f aca="false">IFERROR(AVERAGEIFS(전체!F2:F25,전체!A2:A25,$A9,전체!B2:B25,$B9),"-")</f>
        <v>1</v>
      </c>
      <c r="H9" s="6" t="n">
        <f aca="false">IFERROR(AVERAGEIFS(전체!G2:G25,전체!A2:A25,$A9,전체!B2:B25,$B9),"-")</f>
        <v>1</v>
      </c>
      <c r="I9" s="6" t="n">
        <f aca="false">IFERROR(AVERAGEIFS(전체!H2:H25,전체!A2:A25,$A9,전체!B2:B25,$B9),"-")</f>
        <v>1</v>
      </c>
      <c r="J9" s="6" t="n">
        <f aca="false">IFERROR(AVERAGEIFS(전체!I2:I25,전체!A2:A25,$A9,전체!B2:B25,$B9),"-")</f>
        <v>1</v>
      </c>
      <c r="K9" s="6" t="n">
        <f aca="false">IFERROR(AVERAGEIFS(전체!J2:J25,전체!A2:A25,$A9,전체!B2:B25,$B9),"-")</f>
        <v>1</v>
      </c>
      <c r="L9" s="6" t="n">
        <f aca="false">IFERROR(AVERAGEIFS(전체!K2:K25,전체!A2:A25,$A9,전체!B2:B25,$B9),"-")</f>
        <v>1</v>
      </c>
      <c r="M9" s="6" t="n">
        <f aca="false">IFERROR(AVERAGEIFS(전체!L2:L25,전체!A2:A25,$A9,전체!B2:B25,$B9),"-")</f>
        <v>1</v>
      </c>
      <c r="N9" s="6" t="n">
        <f aca="false">IFERROR(AVERAGEIFS(전체!M2:M25,전체!A2:A25,$A9,전체!B2:B25,$B9),"-")</f>
        <v>0</v>
      </c>
      <c r="O9" s="6" t="n">
        <f aca="false">IFERROR(AVERAGEIFS(전체!N2:N25,전체!A2:A25,$A9,전체!B2:B25,$B9),"-")</f>
        <v>0</v>
      </c>
      <c r="P9" s="6" t="n">
        <f aca="false">IFERROR(AVERAGEIFS(전체!O2:O25,전체!A2:A25,$A9,전체!B2:B25,$B9),"-")</f>
        <v>0</v>
      </c>
      <c r="Q9" s="6" t="n">
        <f aca="false">IFERROR(AVERAGEIFS(전체!P2:P25,전체!A2:A25,$A9,전체!B2:B25,$B9),"-")</f>
        <v>0</v>
      </c>
      <c r="R9" s="6" t="n">
        <f aca="false">IFERROR(AVERAGEIFS(전체!Q2:Q25,전체!A2:A25,$A9,전체!B2:B25,$B9),"-")</f>
        <v>556.577333333333</v>
      </c>
      <c r="S9" s="6" t="n">
        <f aca="false">IFERROR(AVERAGEIFS(전체!R2:R25,전체!A2:A25,$A9,전체!B2:B25,$B9),"-")</f>
        <v>543.271</v>
      </c>
      <c r="T9" s="6" t="n">
        <f aca="false">IFERROR(AVERAGEIFS(전체!S2:S25,전체!A2:A25,$A9,전체!B2:B25,$B9),"-")</f>
        <v>458.901666666667</v>
      </c>
      <c r="U9" s="6" t="n">
        <f aca="false">IFERROR(AVERAGEIFS(전체!T2:T25,전체!A2:A25,$A9,전체!B2:B25,$B9),"-")</f>
        <v>39.9306333333333</v>
      </c>
      <c r="V9" s="6" t="n">
        <f aca="false">IFERROR(AVERAGEIFS(전체!U2:U25,전체!A2:A25,$A9,전체!B2:B25,$B9),"-")</f>
        <v>12.8459333333333</v>
      </c>
      <c r="W9" s="6" t="n">
        <f aca="false">IFERROR(AVERAGEIFS(전체!V2:V25,전체!A2:A25,$A9,전체!B2:B25,$B9),"-")</f>
        <v>14568.3333333333</v>
      </c>
      <c r="X9" s="6" t="n">
        <f aca="false">IFERROR(AVERAGEIFS(전체!W2:W25,전체!A2:A25,$A9,전체!B2:B25,$B9),"-")</f>
        <v>9484.33333333333</v>
      </c>
      <c r="Y9" s="6" t="str">
        <f aca="false">IFERROR(AVERAGEIFS(전체!X2:X25,전체!A2:A25,$A9,전체!B2:B25,$B9),"-")</f>
        <v>-</v>
      </c>
      <c r="Z9" s="6" t="str">
        <f aca="false">IFERROR(AVERAGEIFS(전체!Y2:Y25,전체!A2:A25,$A9,전체!B2:B25,$B9),"-")</f>
        <v>-</v>
      </c>
      <c r="AA9" s="6" t="str">
        <f aca="false">IFERROR(AVERAGEIFS(전체!Z2:Z25,전체!A2:A25,$A9,전체!B2:B25,$B9),"-")</f>
        <v>-</v>
      </c>
      <c r="AB9" s="6" t="n">
        <f aca="false">IFERROR(AVERAGEIFS(전체!AA2:AA25,전체!A2:A25,$A9,전체!B2:B25,$B9),"-")</f>
        <v>34.7882333333333</v>
      </c>
      <c r="AC9" s="6" t="str">
        <f aca="false">IFERROR(AVERAGEIFS(전체!AB2:AB25,전체!A2:A25,$A9,전체!B2:B25,$B9),"-")</f>
        <v>-</v>
      </c>
      <c r="AD9" s="6" t="str">
        <f aca="false">IFERROR(AVERAGEIFS(전체!AC2:AC25,전체!A2:A25,$A9,전체!B2:B25,$B9),"-")</f>
        <v>-</v>
      </c>
      <c r="AE9" s="6" t="str">
        <f aca="false">IFERROR(AVERAGEIFS(전체!AD2:AD25,전체!A2:A25,$A9,전체!B2:B25,$B9),"-")</f>
        <v>-</v>
      </c>
      <c r="AF9" s="6" t="str">
        <f aca="false">IFERROR(AVERAGEIFS(전체!AE2:AE25,전체!A2:A25,$A9,전체!B2:B25,$B9),"-")</f>
        <v>-</v>
      </c>
      <c r="AG9" s="6" t="str">
        <f aca="false">IFERROR(AVERAGEIFS(전체!AF2:AF25,전체!A2:A25,$A9,전체!B2:B25,$B9),"-")</f>
        <v>-</v>
      </c>
      <c r="AH9" s="6" t="str">
        <f aca="false">IFERROR(AVERAGEIFS(전체!AG2:AG25,전체!A2:A25,$A9,전체!B2:B25,$B9),"-")</f>
        <v>-</v>
      </c>
      <c r="AI9" s="6" t="str">
        <f aca="false">IFERROR(AVERAGEIFS(전체!AH2:AH25,전체!A2:A25,$A9,전체!B2:B25,$B9),"-")</f>
        <v>-</v>
      </c>
      <c r="AJ9" s="6" t="str">
        <f aca="false">IFERROR(AVERAGEIFS(전체!AI2:AI25,전체!A2:A25,$A9,전체!B2:B25,$B9),"-")</f>
        <v>-</v>
      </c>
      <c r="AK9" s="6" t="str">
        <f aca="false">IFERROR(AVERAGEIFS(전체!AJ2:AJ25,전체!A2:A25,$A9,전체!B2:B25,$B9),"-")</f>
        <v>-</v>
      </c>
      <c r="AL9" s="6" t="str">
        <f aca="false">IFERROR(AVERAGEIFS(전체!AK2:AK25,전체!A2:A25,$A9,전체!B2:B25,$B9),"-")</f>
        <v>-</v>
      </c>
      <c r="AM9" s="6" t="str">
        <f aca="false">IFERROR(AVERAGEIFS(전체!AL2:AL25,전체!A2:A25,$A9,전체!B2:B25,$B9),"-")</f>
        <v>-</v>
      </c>
      <c r="AN9" s="6" t="str">
        <f aca="false">IFERROR(AVERAGEIFS(전체!AM2:AM25,전체!A2:A25,$A9,전체!B2:B25,$B9),"-")</f>
        <v>-</v>
      </c>
      <c r="AO9" s="6" t="n">
        <f aca="false">IFERROR(AVERAGEIFS(전체!AN2:AN25,전체!A2:A25,$A9,전체!B2:B25,$B9),"-")</f>
        <v>34.5084666666667</v>
      </c>
      <c r="AP9" s="6" t="n">
        <f aca="false">IFERROR(AVERAGEIFS(전체!AO2:AO25,전체!A2:A25,$A9,전체!B2:B25,$B9),"-")</f>
        <v>34.6118666666667</v>
      </c>
      <c r="AQ9" s="6" t="n">
        <f aca="false">IFERROR(AVERAGEIFS(전체!AP2:AP25,전체!A2:A25,$A9,전체!B2:B25,$B9),"-")</f>
        <v>34.4985</v>
      </c>
      <c r="AR9" s="6" t="n">
        <f aca="false">IFERROR(AVERAGEIFS(전체!AQ2:AQ25,전체!A2:A25,$A9,전체!B2:B25,$B9),"-")</f>
        <v>5.89992333333333</v>
      </c>
      <c r="AS9" s="6" t="n">
        <f aca="false">IFERROR(AVERAGEIFS(전체!AR2:AR25,전체!A2:A25,$A9,전체!B2:B25,$B9),"-")</f>
        <v>5.57265333333333</v>
      </c>
      <c r="AT9" s="6" t="n">
        <f aca="false">IFERROR(AVERAGEIFS(전체!AS2:AS25,전체!A2:A25,$A9,전체!B2:B25,$B9),"-")</f>
        <v>6.86553333333333</v>
      </c>
      <c r="AU9" s="6" t="n">
        <f aca="false">IFERROR(AVERAGEIFS(전체!AT2:AT25,전체!A2:A25,$A9,전체!B2:B25,$B9),"-")</f>
        <v>0.00945219666666667</v>
      </c>
      <c r="AV9" s="6" t="n">
        <f aca="false">IFERROR(AVERAGEIFS(전체!AU2:AU25,전체!A2:A25,$A9,전체!B2:B25,$B9),"-")</f>
        <v>38.3824666666667</v>
      </c>
      <c r="AW9" s="6" t="n">
        <f aca="false">IFERROR(AVERAGEIFS(전체!AV2:AV25,전체!A2:A25,$A9,전체!B2:B25,$B9),"-")</f>
        <v>0.158857666666667</v>
      </c>
      <c r="AX9" s="6" t="n">
        <f aca="false">IFERROR(AVERAGEIFS(전체!AW2:AW25,전체!A2:A25,$A9,전체!B2:B25,$B9),"-")</f>
        <v>562.486333333333</v>
      </c>
      <c r="AY9" s="6" t="n">
        <f aca="false">IFERROR(AVERAGEIFS(전체!AX2:AX25,전체!A2:A25,$A9,전체!B2:B25,$B9),"-")</f>
        <v>587.226</v>
      </c>
      <c r="AZ9" s="6" t="n">
        <f aca="false">IFERROR(AVERAGEIFS(전체!AY2:AY25,전체!A2:A25,$A9,전체!B2:B25,$B9),"-")</f>
        <v>465.926</v>
      </c>
    </row>
  </sheetData>
  <autoFilter ref="A1:AZ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20"/>
  </cols>
  <sheetData>
    <row r="1" customFormat="false" ht="29.85" hidden="false" customHeight="false" outlineLevel="0" collapsed="false">
      <c r="A1" s="4" t="s">
        <v>4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4" t="s">
        <v>149</v>
      </c>
      <c r="L1" s="4" t="s">
        <v>150</v>
      </c>
      <c r="M1" s="4" t="s">
        <v>151</v>
      </c>
    </row>
    <row r="2" customFormat="false" ht="15" hidden="false" customHeight="false" outlineLevel="0" collapsed="false">
      <c r="A2" s="5" t="s">
        <v>86</v>
      </c>
      <c r="B2" s="7" t="n">
        <f aca="false">케이스별_3회평균!R2</f>
        <v>152.581333333333</v>
      </c>
      <c r="C2" s="7" t="n">
        <f aca="false">케이스별_3회평균!R6</f>
        <v>4.61993333333333</v>
      </c>
      <c r="D2" s="8" t="n">
        <f aca="false">IFERROR((C2-B2)/B2,"-")</f>
        <v>-0.969721503722605</v>
      </c>
      <c r="E2" s="7" t="n">
        <f aca="false">케이스별_3회평균!U2</f>
        <v>22.7185333333333</v>
      </c>
      <c r="F2" s="7" t="n">
        <f aca="false">케이스별_3회평균!U6</f>
        <v>55.8984666666667</v>
      </c>
      <c r="G2" s="8" t="n">
        <f aca="false">IFERROR((F2-E2)/E2,"-")</f>
        <v>1.46047866939767</v>
      </c>
      <c r="H2" s="7" t="str">
        <f aca="false">케이스별_3회평균!S2</f>
        <v>-</v>
      </c>
      <c r="I2" s="7" t="str">
        <f aca="false">케이스별_3회평균!S6</f>
        <v>-</v>
      </c>
      <c r="J2" s="8" t="str">
        <f aca="false">IFERROR(IF(OR(ISTEXT(I2),ISTEXT(H2)),"-",(I2-H2)/H2),"-")</f>
        <v>-</v>
      </c>
      <c r="K2" s="7" t="str">
        <f aca="false">케이스별_3회평균!T2</f>
        <v>-</v>
      </c>
      <c r="L2" s="7" t="str">
        <f aca="false">케이스별_3회평균!T6</f>
        <v>-</v>
      </c>
      <c r="M2" s="8" t="str">
        <f aca="false">IFERROR(IF(OR(ISTEXT(L2),ISTEXT(K2)),"-",(L2-K2)/K2),"-")</f>
        <v>-</v>
      </c>
    </row>
    <row r="3" customFormat="false" ht="15" hidden="false" customHeight="false" outlineLevel="0" collapsed="false">
      <c r="A3" s="5" t="s">
        <v>87</v>
      </c>
      <c r="B3" s="7" t="n">
        <f aca="false">케이스별_3회평균!R3</f>
        <v>531.858666666667</v>
      </c>
      <c r="C3" s="7" t="n">
        <f aca="false">케이스별_3회평균!R7</f>
        <v>116.374333333333</v>
      </c>
      <c r="D3" s="8" t="n">
        <f aca="false">IFERROR((C3-B3)/B3,"-")</f>
        <v>-0.781193123987826</v>
      </c>
      <c r="E3" s="7" t="n">
        <f aca="false">케이스별_3회평균!U3</f>
        <v>44.9708666666667</v>
      </c>
      <c r="F3" s="7" t="n">
        <f aca="false">케이스별_3회평균!U7</f>
        <v>38.9052</v>
      </c>
      <c r="G3" s="8" t="n">
        <f aca="false">IFERROR((F3-E3)/E3,"-")</f>
        <v>-0.134879914848576</v>
      </c>
      <c r="H3" s="7" t="n">
        <f aca="false">케이스별_3회평균!S3</f>
        <v>575.832</v>
      </c>
      <c r="I3" s="7" t="n">
        <f aca="false">케이스별_3회평균!S7</f>
        <v>709.721333333333</v>
      </c>
      <c r="J3" s="8" t="n">
        <f aca="false">IFERROR(IF(OR(ISTEXT(I3),ISTEXT(H3)),"-",(I3-H3)/H3),"-")</f>
        <v>0.232514576010596</v>
      </c>
      <c r="K3" s="7" t="str">
        <f aca="false">케이스별_3회평균!T3</f>
        <v>-</v>
      </c>
      <c r="L3" s="7" t="str">
        <f aca="false">케이스별_3회평균!T7</f>
        <v>-</v>
      </c>
      <c r="M3" s="8" t="str">
        <f aca="false">IFERROR(IF(OR(ISTEXT(L3),ISTEXT(K3)),"-",(L3-K3)/K3),"-")</f>
        <v>-</v>
      </c>
    </row>
    <row r="4" customFormat="false" ht="15" hidden="false" customHeight="false" outlineLevel="0" collapsed="false">
      <c r="A4" s="5" t="s">
        <v>88</v>
      </c>
      <c r="B4" s="7" t="n">
        <f aca="false">케이스별_3회평균!R4</f>
        <v>480.719333333333</v>
      </c>
      <c r="C4" s="7" t="n">
        <f aca="false">케이스별_3회평균!R8</f>
        <v>316.385333333333</v>
      </c>
      <c r="D4" s="8" t="n">
        <f aca="false">IFERROR((C4-B4)/B4,"-")</f>
        <v>-0.341850199492705</v>
      </c>
      <c r="E4" s="7" t="n">
        <f aca="false">케이스별_3회평균!U4</f>
        <v>30.7054</v>
      </c>
      <c r="F4" s="7" t="n">
        <f aca="false">케이스별_3회평균!U8</f>
        <v>23.7514</v>
      </c>
      <c r="G4" s="8" t="n">
        <f aca="false">IFERROR((F4-E4)/E4,"-")</f>
        <v>-0.226474822018277</v>
      </c>
      <c r="H4" s="7" t="str">
        <f aca="false">케이스별_3회평균!S4</f>
        <v>-</v>
      </c>
      <c r="I4" s="7" t="str">
        <f aca="false">케이스별_3회평균!S8</f>
        <v>-</v>
      </c>
      <c r="J4" s="8" t="str">
        <f aca="false">IFERROR(IF(OR(ISTEXT(I4),ISTEXT(H4)),"-",(I4-H4)/H4),"-")</f>
        <v>-</v>
      </c>
      <c r="K4" s="7" t="n">
        <f aca="false">케이스별_3회평균!T4</f>
        <v>473.861</v>
      </c>
      <c r="L4" s="7" t="n">
        <f aca="false">케이스별_3회평균!T8</f>
        <v>261.661</v>
      </c>
      <c r="M4" s="8" t="n">
        <f aca="false">IFERROR(IF(OR(ISTEXT(L4),ISTEXT(K4)),"-",(L4-K4)/K4),"-")</f>
        <v>-0.447810644893756</v>
      </c>
    </row>
    <row r="5" customFormat="false" ht="15" hidden="false" customHeight="false" outlineLevel="0" collapsed="false">
      <c r="A5" s="5" t="s">
        <v>84</v>
      </c>
      <c r="B5" s="7" t="n">
        <f aca="false">케이스별_3회평균!R5</f>
        <v>695.468333333333</v>
      </c>
      <c r="C5" s="7" t="n">
        <f aca="false">케이스별_3회평균!R9</f>
        <v>556.577333333333</v>
      </c>
      <c r="D5" s="8" t="n">
        <f aca="false">IFERROR((C5-B5)/B5,"-")</f>
        <v>-0.199708589655412</v>
      </c>
      <c r="E5" s="7" t="n">
        <f aca="false">케이스별_3회평균!U5</f>
        <v>40.1587333333333</v>
      </c>
      <c r="F5" s="7" t="n">
        <f aca="false">케이스별_3회평균!U9</f>
        <v>39.9306333333333</v>
      </c>
      <c r="G5" s="8" t="n">
        <f aca="false">IFERROR((F5-E5)/E5,"-")</f>
        <v>-0.00567996002529972</v>
      </c>
      <c r="H5" s="7" t="n">
        <f aca="false">케이스별_3회평균!S5</f>
        <v>716.247</v>
      </c>
      <c r="I5" s="7" t="n">
        <f aca="false">케이스별_3회평균!S9</f>
        <v>543.271</v>
      </c>
      <c r="J5" s="8" t="n">
        <f aca="false">IFERROR(IF(OR(ISTEXT(I5),ISTEXT(H5)),"-",(I5-H5)/H5),"-")</f>
        <v>-0.241503280292971</v>
      </c>
      <c r="K5" s="7" t="n">
        <f aca="false">케이스별_3회평균!T5</f>
        <v>689.627666666667</v>
      </c>
      <c r="L5" s="7" t="n">
        <f aca="false">케이스별_3회평균!T9</f>
        <v>458.901666666667</v>
      </c>
      <c r="M5" s="8" t="n">
        <f aca="false">IFERROR(IF(OR(ISTEXT(L5),ISTEXT(K5)),"-",(L5-K5)/K5),"-")</f>
        <v>-0.334566043609039</v>
      </c>
    </row>
    <row r="7" customFormat="false" ht="15" hidden="false" customHeight="false" outlineLevel="0" collapsed="false">
      <c r="A7" s="9" t="s">
        <v>152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10" t="s">
        <v>153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10" t="s">
        <v>154</v>
      </c>
      <c r="B9" s="10"/>
      <c r="C9" s="10"/>
      <c r="D9" s="10"/>
      <c r="E9" s="10"/>
      <c r="F9" s="10"/>
    </row>
    <row r="10" customFormat="false" ht="15" hidden="false" customHeight="false" outlineLevel="0" collapsed="false">
      <c r="A10" s="10" t="s">
        <v>155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0" t="s">
        <v>156</v>
      </c>
      <c r="B11" s="10"/>
      <c r="C11" s="10"/>
      <c r="D11" s="10"/>
      <c r="E11" s="10"/>
      <c r="F11" s="10"/>
    </row>
  </sheetData>
  <mergeCells count="5">
    <mergeCell ref="A7:F7"/>
    <mergeCell ref="A8:F8"/>
    <mergeCell ref="A9:F9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1" t="s">
        <v>4</v>
      </c>
      <c r="B1" s="11" t="s">
        <v>140</v>
      </c>
      <c r="C1" s="11" t="s">
        <v>141</v>
      </c>
      <c r="D1" s="11" t="s">
        <v>143</v>
      </c>
      <c r="E1" s="11" t="s">
        <v>144</v>
      </c>
    </row>
    <row r="2" customFormat="false" ht="15" hidden="false" customHeight="false" outlineLevel="0" collapsed="false">
      <c r="A2" s="5" t="s">
        <v>86</v>
      </c>
      <c r="B2" s="7" t="n">
        <f aca="false">NPU_vs_CPU_비교!B2</f>
        <v>152.581333333333</v>
      </c>
      <c r="C2" s="7" t="n">
        <f aca="false">NPU_vs_CPU_비교!C2</f>
        <v>4.61993333333333</v>
      </c>
      <c r="D2" s="7" t="n">
        <f aca="false">NPU_vs_CPU_비교!E2</f>
        <v>22.7185333333333</v>
      </c>
      <c r="E2" s="7" t="n">
        <f aca="false">NPU_vs_CPU_비교!F2</f>
        <v>55.8984666666667</v>
      </c>
    </row>
    <row r="3" customFormat="false" ht="15" hidden="false" customHeight="false" outlineLevel="0" collapsed="false">
      <c r="A3" s="5" t="s">
        <v>87</v>
      </c>
      <c r="B3" s="7" t="n">
        <f aca="false">NPU_vs_CPU_비교!B3</f>
        <v>531.858666666667</v>
      </c>
      <c r="C3" s="7" t="n">
        <f aca="false">NPU_vs_CPU_비교!C3</f>
        <v>116.374333333333</v>
      </c>
      <c r="D3" s="7" t="n">
        <f aca="false">NPU_vs_CPU_비교!E3</f>
        <v>44.9708666666667</v>
      </c>
      <c r="E3" s="7" t="n">
        <f aca="false">NPU_vs_CPU_비교!F3</f>
        <v>38.9052</v>
      </c>
    </row>
    <row r="4" customFormat="false" ht="15" hidden="false" customHeight="false" outlineLevel="0" collapsed="false">
      <c r="A4" s="5" t="s">
        <v>88</v>
      </c>
      <c r="B4" s="7" t="n">
        <f aca="false">NPU_vs_CPU_비교!B4</f>
        <v>480.719333333333</v>
      </c>
      <c r="C4" s="7" t="n">
        <f aca="false">NPU_vs_CPU_비교!C4</f>
        <v>316.385333333333</v>
      </c>
      <c r="D4" s="7" t="n">
        <f aca="false">NPU_vs_CPU_비교!E4</f>
        <v>30.7054</v>
      </c>
      <c r="E4" s="7" t="n">
        <f aca="false">NPU_vs_CPU_비교!F4</f>
        <v>23.7514</v>
      </c>
    </row>
    <row r="5" customFormat="false" ht="15" hidden="false" customHeight="false" outlineLevel="0" collapsed="false">
      <c r="A5" s="5" t="s">
        <v>84</v>
      </c>
      <c r="B5" s="7" t="n">
        <f aca="false">NPU_vs_CPU_비교!B5</f>
        <v>695.468333333333</v>
      </c>
      <c r="C5" s="7" t="n">
        <f aca="false">NPU_vs_CPU_비교!C5</f>
        <v>556.577333333333</v>
      </c>
      <c r="D5" s="7" t="n">
        <f aca="false">NPU_vs_CPU_비교!E5</f>
        <v>40.1587333333333</v>
      </c>
      <c r="E5" s="7" t="n">
        <f aca="false">NPU_vs_CPU_비교!F5</f>
        <v>39.9306333333333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2026-08-07T01:19:04Z</dcterms:created>
  <dc:creator>openpyxl</dc:creator>
  <dc:description/>
  <dc:language>en-US</dc:language>
  <cp:lastModifiedBy/>
  <dcterms:modified xsi:type="dcterms:W3CDTF">2026-08-07T10:19:09Z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