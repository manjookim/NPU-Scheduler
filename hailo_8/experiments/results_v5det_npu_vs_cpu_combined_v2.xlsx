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설명" sheetId="1" state="visible" r:id="rId3"/>
    <sheet name="전체" sheetId="2" state="visible" r:id="rId4"/>
    <sheet name="케이스별_평균" sheetId="3" state="visible" r:id="rId5"/>
    <sheet name="NPU_vs_CPU_비교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<sst xmlns="http://schemas.openxmlformats.org/spreadsheetml/2006/main" count="1507" uniqueCount="152">
  <si>
    <r>
      <rPr>
        <b val="true"/>
        <sz val="13"/>
        <rFont val="Arial"/>
        <family val="0"/>
        <charset val="1"/>
      </rPr>
      <t xml:space="preserve">NPU vs CPU </t>
    </r>
    <r>
      <rPr>
        <b val="true"/>
        <sz val="13"/>
        <rFont val="Noto Sans CJK SC"/>
        <family val="2"/>
      </rPr>
      <t xml:space="preserve">후처리 비교 </t>
    </r>
    <r>
      <rPr>
        <b val="true"/>
        <sz val="13"/>
        <rFont val="Arial"/>
        <family val="0"/>
        <charset val="1"/>
      </rPr>
      <t xml:space="preserve">(v5det </t>
    </r>
    <r>
      <rPr>
        <b val="true"/>
        <sz val="13"/>
        <rFont val="Noto Sans CJK SC"/>
        <family val="2"/>
      </rPr>
      <t xml:space="preserve">실험</t>
    </r>
    <r>
      <rPr>
        <b val="true"/>
        <sz val="13"/>
        <rFont val="Arial"/>
        <family val="0"/>
        <charset val="1"/>
      </rPr>
      <t xml:space="preserve">) — </t>
    </r>
    <r>
      <rPr>
        <b val="true"/>
        <sz val="13"/>
        <rFont val="Noto Sans CJK SC"/>
        <family val="2"/>
      </rPr>
      <t xml:space="preserve">컬럼</t>
    </r>
    <r>
      <rPr>
        <b val="true"/>
        <sz val="13"/>
        <rFont val="Arial"/>
        <family val="0"/>
        <charset val="1"/>
      </rPr>
      <t xml:space="preserve">/</t>
    </r>
    <r>
      <rPr>
        <b val="true"/>
        <sz val="13"/>
        <rFont val="Noto Sans CJK SC"/>
        <family val="2"/>
      </rPr>
      <t xml:space="preserve">시트 설명</t>
    </r>
  </si>
  <si>
    <t xml:space="preserve">실험</t>
  </si>
  <si>
    <r>
      <rPr>
        <sz val="10"/>
        <rFont val="Arial"/>
        <family val="0"/>
        <charset val="1"/>
      </rPr>
      <t xml:space="preserve">Detection </t>
    </r>
    <r>
      <rPr>
        <sz val="10"/>
        <rFont val="Noto Sans CJK SC"/>
        <family val="2"/>
      </rPr>
      <t xml:space="preserve">모델</t>
    </r>
    <r>
      <rPr>
        <sz val="10"/>
        <rFont val="Arial"/>
        <family val="0"/>
        <charset val="1"/>
      </rPr>
      <t xml:space="preserve">(YOLOv5) </t>
    </r>
    <r>
      <rPr>
        <sz val="10"/>
        <rFont val="Noto Sans CJK SC"/>
        <family val="2"/>
      </rPr>
      <t xml:space="preserve">후처리</t>
    </r>
    <r>
      <rPr>
        <sz val="10"/>
        <rFont val="Arial"/>
        <family val="0"/>
        <charset val="1"/>
      </rPr>
      <t xml:space="preserve">(NMS)</t>
    </r>
    <r>
      <rPr>
        <sz val="10"/>
        <rFont val="Noto Sans CJK SC"/>
        <family val="2"/>
      </rPr>
      <t xml:space="preserve">를 </t>
    </r>
    <r>
      <rPr>
        <sz val="10"/>
        <rFont val="Arial"/>
        <family val="0"/>
        <charset val="1"/>
      </rPr>
      <t xml:space="preserve">NPU(neural core, engine=nn_core/auto, yolov5xs_wo_spp_nms_core.hef)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vs CPU(host, engine=cpu, yolov5xs_wo_spp.hef)</t>
    </r>
    <r>
      <rPr>
        <sz val="10"/>
        <rFont val="Noto Sans CJK SC"/>
        <family val="2"/>
      </rPr>
      <t xml:space="preserve">에서 돌렸을 때 차이 비교</t>
    </r>
    <r>
      <rPr>
        <sz val="10"/>
        <rFont val="Arial"/>
        <family val="0"/>
        <charset val="1"/>
      </rPr>
      <t xml:space="preserve">. Segmentation/Pose</t>
    </r>
    <r>
      <rPr>
        <sz val="10"/>
        <rFont val="Noto Sans CJK SC"/>
        <family val="2"/>
      </rPr>
      <t xml:space="preserve">는 두 조건 다 </t>
    </r>
    <r>
      <rPr>
        <sz val="10"/>
        <rFont val="Arial"/>
        <family val="0"/>
        <charset val="1"/>
      </rPr>
      <t xml:space="preserve">YOLOv8 CPU </t>
    </r>
    <r>
      <rPr>
        <sz val="10"/>
        <rFont val="Noto Sans CJK SC"/>
        <family val="2"/>
      </rPr>
      <t xml:space="preserve">후처리 그대로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이 아키텍처엔 </t>
    </r>
    <r>
      <rPr>
        <sz val="10"/>
        <rFont val="Arial"/>
        <family val="0"/>
        <charset val="1"/>
      </rPr>
      <t xml:space="preserve">NPU </t>
    </r>
    <r>
      <rPr>
        <sz val="10"/>
        <rFont val="Noto Sans CJK SC"/>
        <family val="2"/>
      </rPr>
      <t xml:space="preserve">후처리 옵션 자체가 없음</t>
    </r>
    <r>
      <rPr>
        <sz val="10"/>
        <rFont val="Arial"/>
        <family val="0"/>
        <charset val="1"/>
      </rPr>
      <t xml:space="preserve">).</t>
    </r>
  </si>
  <si>
    <t xml:space="preserve">조합</t>
  </si>
  <si>
    <r>
      <rPr>
        <sz val="10"/>
        <rFont val="Arial"/>
        <family val="0"/>
        <charset val="1"/>
      </rPr>
      <t xml:space="preserve">det / det_seg / det_pose / det_seg_pose 4</t>
    </r>
    <r>
      <rPr>
        <sz val="10"/>
        <rFont val="Noto Sans CJK SC"/>
        <family val="2"/>
      </rPr>
      <t xml:space="preserve">가지 </t>
    </r>
    <r>
      <rPr>
        <sz val="10"/>
        <rFont val="Arial"/>
        <family val="0"/>
        <charset val="1"/>
      </rPr>
      <t xml:space="preserve">(Detection</t>
    </r>
    <r>
      <rPr>
        <sz val="10"/>
        <rFont val="Noto Sans CJK SC"/>
        <family val="2"/>
      </rPr>
      <t xml:space="preserve">은 실험 축이라 항상 켜둠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각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회 반복이 목표지만 세그폴트 재시도 로직 때문에 </t>
    </r>
    <r>
      <rPr>
        <sz val="10"/>
        <rFont val="Arial"/>
        <family val="0"/>
        <charset val="1"/>
      </rPr>
      <t xml:space="preserve">det </t>
    </r>
    <r>
      <rPr>
        <sz val="10"/>
        <rFont val="Noto Sans CJK SC"/>
        <family val="2"/>
      </rPr>
      <t xml:space="preserve">조합은 </t>
    </r>
    <r>
      <rPr>
        <sz val="10"/>
        <rFont val="Arial"/>
        <family val="0"/>
        <charset val="1"/>
      </rPr>
      <t xml:space="preserve">CSV </t>
    </r>
    <r>
      <rPr>
        <sz val="10"/>
        <rFont val="Noto Sans CJK SC"/>
        <family val="2"/>
      </rPr>
      <t xml:space="preserve">행이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개까지 쌓임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전부 유효한 반복 측정값 — 그중 </t>
    </r>
    <r>
      <rPr>
        <sz val="10"/>
        <rFont val="Arial"/>
        <family val="0"/>
        <charset val="1"/>
      </rPr>
      <t xml:space="preserve">hrtt </t>
    </r>
    <r>
      <rPr>
        <sz val="10"/>
        <rFont val="Noto Sans CJK SC"/>
        <family val="2"/>
      </rPr>
      <t xml:space="preserve">트레이스가 붙은 건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개뿐</t>
    </r>
    <r>
      <rPr>
        <sz val="10"/>
        <rFont val="Arial"/>
        <family val="0"/>
        <charset val="1"/>
      </rPr>
      <t xml:space="preserve">).</t>
    </r>
  </si>
  <si>
    <t xml:space="preserve">postprocess_engine / combo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</si>
  <si>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전체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시트에 원본 </t>
    </r>
    <r>
      <rPr>
        <sz val="10"/>
        <rFont val="Arial"/>
        <family val="0"/>
        <charset val="1"/>
      </rPr>
      <t xml:space="preserve">CSV</t>
    </r>
    <r>
      <rPr>
        <sz val="10"/>
        <rFont val="Noto Sans CJK SC"/>
        <family val="2"/>
      </rPr>
      <t xml:space="preserve">엔 없던 두 컬럼을 앞에 추가해 구분용으로 씀</t>
    </r>
    <r>
      <rPr>
        <sz val="10"/>
        <rFont val="Arial"/>
        <family val="0"/>
        <charset val="1"/>
      </rPr>
      <t xml:space="preserve">.</t>
    </r>
  </si>
  <si>
    <r>
      <rPr>
        <b val="true"/>
        <sz val="11"/>
        <color rgb="FFC00000"/>
        <rFont val="Arial"/>
        <family val="0"/>
        <charset val="1"/>
      </rPr>
      <t xml:space="preserve">[</t>
    </r>
    <r>
      <rPr>
        <b val="true"/>
        <sz val="11"/>
        <color rgb="FFC00000"/>
        <rFont val="Noto Sans CJK SC"/>
        <family val="2"/>
      </rPr>
      <t xml:space="preserve">중요</t>
    </r>
    <r>
      <rPr>
        <b val="true"/>
        <sz val="11"/>
        <color rgb="FFC00000"/>
        <rFont val="Arial"/>
        <family val="0"/>
        <charset val="1"/>
      </rPr>
      <t xml:space="preserve">] HRTT </t>
    </r>
    <r>
      <rPr>
        <b val="true"/>
        <sz val="11"/>
        <color rgb="FFC00000"/>
        <rFont val="Noto Sans CJK SC"/>
        <family val="2"/>
      </rPr>
      <t xml:space="preserve">트레이스 길이 관련 주의사항</t>
    </r>
  </si>
  <si>
    <r>
      <rPr>
        <sz val="10"/>
        <rFont val="Arial"/>
        <family val="0"/>
        <charset val="1"/>
      </rPr>
      <t xml:space="preserve">HAILO_TRACE_TIME_IN_SECONDS_BOUNDED_DUMP </t>
    </r>
    <r>
      <rPr>
        <sz val="10"/>
        <rFont val="Noto Sans CJK SC"/>
        <family val="2"/>
      </rPr>
      <t xml:space="preserve">환경변수 값을 처음엔 </t>
    </r>
    <r>
      <rPr>
        <sz val="10"/>
        <rFont val="Arial"/>
        <family val="0"/>
        <charset val="1"/>
      </rPr>
      <t xml:space="preserve">90 -&gt; 30 -&gt; 3</t>
    </r>
    <r>
      <rPr>
        <sz val="10"/>
        <rFont val="Noto Sans CJK SC"/>
        <family val="2"/>
      </rPr>
      <t xml:space="preserve">으로 낮춰가며 재수집했다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실기로 직접 확인한 결과 이 값은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그 시점까지 전체 누적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 아니라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최근 </t>
    </r>
    <r>
      <rPr>
        <sz val="10"/>
        <rFont val="Arial"/>
        <family val="0"/>
        <charset val="1"/>
      </rPr>
      <t xml:space="preserve">N</t>
    </r>
    <r>
      <rPr>
        <sz val="10"/>
        <rFont val="Noto Sans CJK SC"/>
        <family val="2"/>
      </rPr>
      <t xml:space="preserve">초 구간만 덤프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하는 방식으로 보인다</t>
    </r>
    <r>
      <rPr>
        <sz val="10"/>
        <rFont val="Arial"/>
        <family val="0"/>
        <charset val="1"/>
      </rPr>
      <t xml:space="preserve">(det </t>
    </r>
    <r>
      <rPr>
        <sz val="10"/>
        <rFont val="Noto Sans CJK SC"/>
        <family val="2"/>
      </rPr>
      <t xml:space="preserve">단독 트레이스의 </t>
    </r>
    <r>
      <rPr>
        <sz val="10"/>
        <rFont val="Arial"/>
        <family val="0"/>
        <charset val="1"/>
      </rPr>
      <t xml:space="preserve">hrtt_run_time_sec</t>
    </r>
    <r>
      <rPr>
        <sz val="10"/>
        <rFont val="Noto Sans CJK SC"/>
        <family val="2"/>
      </rPr>
      <t xml:space="preserve">가 실제 실행시간 </t>
    </r>
    <r>
      <rPr>
        <sz val="10"/>
        <rFont val="Arial"/>
        <family val="0"/>
        <charset val="1"/>
      </rPr>
      <t xml:space="preserve">9.6</t>
    </r>
    <r>
      <rPr>
        <sz val="10"/>
        <rFont val="Noto Sans CJK SC"/>
        <family val="2"/>
      </rPr>
      <t xml:space="preserve">초가 아니라 설정값과 비슷한 </t>
    </r>
    <r>
      <rPr>
        <sz val="10"/>
        <rFont val="Arial"/>
        <family val="0"/>
        <charset val="1"/>
      </rPr>
      <t xml:space="preserve">2.8~2.9</t>
    </r>
    <r>
      <rPr>
        <sz val="10"/>
        <rFont val="Noto Sans CJK SC"/>
        <family val="2"/>
      </rPr>
      <t xml:space="preserve">초로 나옴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그 결과</t>
    </r>
    <r>
      <rPr>
        <sz val="10"/>
        <rFont val="Arial"/>
        <family val="0"/>
        <charset val="1"/>
      </rPr>
      <t xml:space="preserve">:
  - det_seg_pose </t>
    </r>
    <r>
      <rPr>
        <sz val="10"/>
        <rFont val="Noto Sans CJK SC"/>
        <family val="2"/>
      </rPr>
      <t xml:space="preserve">조합</t>
    </r>
    <r>
      <rPr>
        <sz val="10"/>
        <rFont val="Arial"/>
        <family val="0"/>
        <charset val="1"/>
      </rPr>
      <t xml:space="preserve">(3</t>
    </r>
    <r>
      <rPr>
        <sz val="10"/>
        <rFont val="Noto Sans CJK SC"/>
        <family val="2"/>
      </rPr>
      <t xml:space="preserve">개 값 다 최초 </t>
    </r>
    <r>
      <rPr>
        <sz val="10"/>
        <rFont val="Arial"/>
        <family val="0"/>
        <charset val="1"/>
      </rPr>
      <t xml:space="preserve">30/90 </t>
    </r>
    <r>
      <rPr>
        <sz val="10"/>
        <rFont val="Noto Sans CJK SC"/>
        <family val="2"/>
      </rPr>
      <t xml:space="preserve">설정으로 수집됨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실제 실행시간 </t>
    </r>
    <r>
      <rPr>
        <sz val="10"/>
        <rFont val="Arial"/>
        <family val="0"/>
        <charset val="1"/>
      </rPr>
      <t xml:space="preserve">~90~100</t>
    </r>
    <r>
      <rPr>
        <sz val="10"/>
        <rFont val="Noto Sans CJK SC"/>
        <family val="2"/>
      </rPr>
      <t xml:space="preserve">초에 근접한 구간을 담고 있어 상대적으로 대표성이 높음</t>
    </r>
    <r>
      <rPr>
        <sz val="10"/>
        <rFont val="Arial"/>
        <family val="0"/>
        <charset val="1"/>
      </rPr>
      <t xml:space="preserve">)
  - det / det_seg / det_pose </t>
    </r>
    <r>
      <rPr>
        <sz val="10"/>
        <rFont val="Noto Sans CJK SC"/>
        <family val="2"/>
      </rPr>
      <t xml:space="preserve">조합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이번에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초 설정으로 새로 수집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전체 실행시간 중 최근 </t>
    </r>
    <r>
      <rPr>
        <sz val="10"/>
        <rFont val="Arial"/>
        <family val="0"/>
        <charset val="1"/>
      </rPr>
      <t xml:space="preserve">~2.8</t>
    </r>
    <r>
      <rPr>
        <sz val="10"/>
        <rFont val="Noto Sans CJK SC"/>
        <family val="2"/>
      </rPr>
      <t xml:space="preserve">초 구간만 반영 — 표본이 훨씬 작음</t>
    </r>
    <r>
      <rPr>
        <sz val="10"/>
        <rFont val="Arial"/>
        <family val="0"/>
        <charset val="1"/>
      </rPr>
      <t xml:space="preserve">)
</t>
    </r>
    <r>
      <rPr>
        <sz val="10"/>
        <rFont val="Noto Sans CJK SC"/>
        <family val="2"/>
      </rPr>
      <t xml:space="preserve">따라서 </t>
    </r>
    <r>
      <rPr>
        <sz val="10"/>
        <rFont val="Arial"/>
        <family val="0"/>
        <charset val="1"/>
      </rPr>
      <t xml:space="preserve">avg_fps_det / avg_latency_det / max_latency_det / activation_det </t>
    </r>
    <r>
      <rPr>
        <sz val="10"/>
        <rFont val="Noto Sans CJK SC"/>
        <family val="2"/>
      </rPr>
      <t xml:space="preserve">등 </t>
    </r>
    <r>
      <rPr>
        <sz val="10"/>
        <rFont val="Arial"/>
        <family val="0"/>
        <charset val="1"/>
      </rPr>
      <t xml:space="preserve">'hrtt </t>
    </r>
    <r>
      <rPr>
        <sz val="10"/>
        <rFont val="Noto Sans CJK SC"/>
        <family val="2"/>
      </rPr>
      <t xml:space="preserve">기반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컬럼은 조합마다 대표하는 시간 구간 길이가 다르다는 점을 감안해서 봐야 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반대로 </t>
    </r>
    <r>
      <rPr>
        <sz val="10"/>
        <rFont val="Arial"/>
        <family val="0"/>
        <charset val="1"/>
      </rPr>
      <t xml:space="preserve">det_latency_ms / seg_latency_ms / pose_latency_ms / cpu_percent / postprocess_ms_* / total_time_ms_* </t>
    </r>
    <r>
      <rPr>
        <sz val="10"/>
        <rFont val="Noto Sans CJK SC"/>
        <family val="2"/>
      </rPr>
      <t xml:space="preserve">컬럼은 앱이 </t>
    </r>
    <r>
      <rPr>
        <sz val="10"/>
        <rFont val="Arial"/>
        <family val="0"/>
        <charset val="1"/>
      </rPr>
      <t xml:space="preserve">673</t>
    </r>
    <r>
      <rPr>
        <sz val="10"/>
        <rFont val="Noto Sans CJK SC"/>
        <family val="2"/>
      </rPr>
      <t xml:space="preserve">장 전체를 처리하면서 직접 측정한 값이라 이 트레이스 길이 이슈와 무관하게 항상 전체 실행 기준이다 — 조합 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차 비교는 이 쪽을 기준으로 하는 게 안전하다</t>
    </r>
    <r>
      <rPr>
        <sz val="10"/>
        <rFont val="Arial"/>
        <family val="0"/>
        <charset val="1"/>
      </rPr>
      <t xml:space="preserve">.</t>
    </r>
  </si>
  <si>
    <t xml:space="preserve">det/seg/pose_latency_ms</t>
  </si>
  <si>
    <r>
      <rPr>
        <sz val="10"/>
        <rFont val="Noto Sans CJK SC"/>
        <family val="2"/>
      </rPr>
      <t xml:space="preserve">모델별 평균 추론 </t>
    </r>
    <r>
      <rPr>
        <sz val="10"/>
        <rFont val="Arial"/>
        <family val="0"/>
        <charset val="1"/>
      </rPr>
      <t xml:space="preserve">latency(HailoRT vstream write→read </t>
    </r>
    <r>
      <rPr>
        <sz val="10"/>
        <rFont val="Noto Sans CJK SC"/>
        <family val="2"/>
      </rPr>
      <t xml:space="preserve">왕복시간</t>
    </r>
    <r>
      <rPr>
        <sz val="10"/>
        <rFont val="Arial"/>
        <family val="0"/>
        <charset val="1"/>
      </rPr>
      <t xml:space="preserve">, ms). </t>
    </r>
    <r>
      <rPr>
        <sz val="10"/>
        <rFont val="Noto Sans CJK SC"/>
        <family val="2"/>
      </rPr>
      <t xml:space="preserve">큐 대기시간까지 포함 — 항상 </t>
    </r>
    <r>
      <rPr>
        <sz val="10"/>
        <rFont val="Arial"/>
        <family val="0"/>
        <charset val="1"/>
      </rPr>
      <t xml:space="preserve">673</t>
    </r>
    <r>
      <rPr>
        <sz val="10"/>
        <rFont val="Noto Sans CJK SC"/>
        <family val="2"/>
      </rPr>
      <t xml:space="preserve">장 전체 기준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트레이스 길이 이슈 없음</t>
    </r>
    <r>
      <rPr>
        <sz val="10"/>
        <rFont val="Arial"/>
        <family val="0"/>
        <charset val="1"/>
      </rPr>
      <t xml:space="preserve">).</t>
    </r>
  </si>
  <si>
    <t xml:space="preserve">cpu_percent / mem_percent</t>
  </si>
  <si>
    <r>
      <rPr>
        <sz val="10"/>
        <rFont val="Noto Sans CJK SC"/>
        <family val="2"/>
      </rPr>
      <t xml:space="preserve">실행 구간 전체 호스트 </t>
    </r>
    <r>
      <rPr>
        <sz val="10"/>
        <rFont val="Arial"/>
        <family val="0"/>
        <charset val="1"/>
      </rPr>
      <t xml:space="preserve">CPU/</t>
    </r>
    <r>
      <rPr>
        <sz val="10"/>
        <rFont val="Noto Sans CJK SC"/>
        <family val="2"/>
      </rPr>
      <t xml:space="preserve">메모리 사용률</t>
    </r>
    <r>
      <rPr>
        <sz val="10"/>
        <rFont val="Arial"/>
        <family val="0"/>
        <charset val="1"/>
      </rPr>
      <t xml:space="preserve">(%).</t>
    </r>
  </si>
  <si>
    <t xml:space="preserve">npu_percent</t>
  </si>
  <si>
    <r>
      <rPr>
        <sz val="10"/>
        <rFont val="Arial"/>
        <family val="0"/>
        <charset val="1"/>
      </rPr>
      <t xml:space="preserve">hrtt </t>
    </r>
    <r>
      <rPr>
        <sz val="10"/>
        <rFont val="Noto Sans CJK SC"/>
        <family val="2"/>
      </rPr>
      <t xml:space="preserve">트레이스의 모델별 </t>
    </r>
    <r>
      <rPr>
        <sz val="10"/>
        <rFont val="Arial"/>
        <family val="0"/>
        <charset val="1"/>
      </rPr>
      <t xml:space="preserve">device_usage_pct </t>
    </r>
    <r>
      <rPr>
        <sz val="10"/>
        <rFont val="Noto Sans CJK SC"/>
        <family val="2"/>
      </rPr>
      <t xml:space="preserve">합으로 채움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외부 폴링 스크립트가 이 실기 환경에서 샘플을 못 얻어서 대체</t>
    </r>
    <r>
      <rPr>
        <sz val="10"/>
        <rFont val="Arial"/>
        <family val="0"/>
        <charset val="1"/>
      </rPr>
      <t xml:space="preserve">). '</t>
    </r>
    <r>
      <rPr>
        <sz val="10"/>
        <rFont val="Noto Sans CJK SC"/>
        <family val="2"/>
      </rPr>
      <t xml:space="preserve">어떤 모델이든 </t>
    </r>
    <r>
      <rPr>
        <sz val="10"/>
        <rFont val="Arial"/>
        <family val="0"/>
        <charset val="1"/>
      </rPr>
      <t xml:space="preserve">NPU</t>
    </r>
    <r>
      <rPr>
        <sz val="10"/>
        <rFont val="Noto Sans CJK SC"/>
        <family val="2"/>
      </rPr>
      <t xml:space="preserve">를 쓰고 있던 비율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추정치</t>
    </r>
    <r>
      <rPr>
        <sz val="10"/>
        <rFont val="Arial"/>
        <family val="0"/>
        <charset val="1"/>
      </rPr>
      <t xml:space="preserve">.</t>
    </r>
  </si>
  <si>
    <t xml:space="preserve">avg_fps_*/avg_latency_*/max_latency_*/activation_*</t>
  </si>
  <si>
    <r>
      <rPr>
        <sz val="10"/>
        <rFont val="Arial"/>
        <family val="0"/>
        <charset val="1"/>
      </rPr>
      <t xml:space="preserve">hrtt </t>
    </r>
    <r>
      <rPr>
        <sz val="10"/>
        <rFont val="Noto Sans CJK SC"/>
        <family val="2"/>
      </rPr>
      <t xml:space="preserve">트레이스 기반 — 위 </t>
    </r>
    <r>
      <rPr>
        <sz val="10"/>
        <rFont val="Arial"/>
        <family val="0"/>
        <charset val="1"/>
      </rPr>
      <t xml:space="preserve">caveat </t>
    </r>
    <r>
      <rPr>
        <sz val="10"/>
        <rFont val="Noto Sans CJK SC"/>
        <family val="2"/>
      </rPr>
      <t xml:space="preserve">참고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조합별로 반영하는 시간 구간 길이가 다름</t>
    </r>
    <r>
      <rPr>
        <sz val="10"/>
        <rFont val="Arial"/>
        <family val="0"/>
        <charset val="1"/>
      </rPr>
      <t xml:space="preserve">.</t>
    </r>
  </si>
  <si>
    <t xml:space="preserve">switches_per_s / idle_time_pct</t>
  </si>
  <si>
    <r>
      <rPr>
        <sz val="10"/>
        <rFont val="Arial"/>
        <family val="0"/>
        <charset val="1"/>
      </rPr>
      <t xml:space="preserve">hrtt </t>
    </r>
    <r>
      <rPr>
        <sz val="10"/>
        <rFont val="Noto Sans CJK SC"/>
        <family val="2"/>
      </rPr>
      <t xml:space="preserve">트레이스 전체 기준 글로벌 지표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스케줄러 코어옵 전환 빈도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유휴비율</t>
    </r>
    <r>
      <rPr>
        <sz val="10"/>
        <rFont val="Arial"/>
        <family val="0"/>
        <charset val="1"/>
      </rPr>
      <t xml:space="preserve">).</t>
    </r>
  </si>
  <si>
    <t xml:space="preserve">postprocess_ms_* / total_time_ms_* / avg_preprocess_ms_*</t>
  </si>
  <si>
    <r>
      <rPr>
        <sz val="10"/>
        <rFont val="Noto Sans CJK SC"/>
        <family val="2"/>
      </rPr>
      <t xml:space="preserve">장당 평균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앱이 직접 측정</t>
    </r>
    <r>
      <rPr>
        <sz val="10"/>
        <rFont val="Arial"/>
        <family val="0"/>
        <charset val="1"/>
      </rPr>
      <t xml:space="preserve">(673</t>
    </r>
    <r>
      <rPr>
        <sz val="10"/>
        <rFont val="Noto Sans CJK SC"/>
        <family val="2"/>
      </rPr>
      <t xml:space="preserve">장 전체 기준</t>
    </r>
    <r>
      <rPr>
        <sz val="10"/>
        <rFont val="Arial"/>
        <family val="0"/>
        <charset val="1"/>
      </rPr>
      <t xml:space="preserve">).</t>
    </r>
  </si>
  <si>
    <t xml:space="preserve">n_total_rows / n_hrtt_rows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</si>
  <si>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케이스별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평균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시트에서 추가한 컬럼 — 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엔진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조합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CSV </t>
    </r>
    <r>
      <rPr>
        <sz val="10"/>
        <rFont val="Noto Sans CJK SC"/>
        <family val="2"/>
      </rPr>
      <t xml:space="preserve">행이 몇 개 있는지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그중 </t>
    </r>
    <r>
      <rPr>
        <sz val="10"/>
        <rFont val="Arial"/>
        <family val="0"/>
        <charset val="1"/>
      </rPr>
      <t xml:space="preserve">hrtt </t>
    </r>
    <r>
      <rPr>
        <sz val="10"/>
        <rFont val="Noto Sans CJK SC"/>
        <family val="2"/>
      </rPr>
      <t xml:space="preserve">트레이스가 매칭된 게 몇 개인지</t>
    </r>
    <r>
      <rPr>
        <sz val="10"/>
        <rFont val="Arial"/>
        <family val="0"/>
        <charset val="1"/>
      </rPr>
      <t xml:space="preserve">.</t>
    </r>
  </si>
  <si>
    <t xml:space="preserve">postprocess_engine</t>
  </si>
  <si>
    <t xml:space="preserve">combo</t>
  </si>
  <si>
    <t xml:space="preserve">run_id</t>
  </si>
  <si>
    <t xml:space="preserve">use_det</t>
  </si>
  <si>
    <t xml:space="preserve">use_seg</t>
  </si>
  <si>
    <t xml:space="preserve">use_pose</t>
  </si>
  <si>
    <t xml:space="preserve">batch_det</t>
  </si>
  <si>
    <t xml:space="preserve">batch_seg</t>
  </si>
  <si>
    <t xml:space="preserve">batch_pose</t>
  </si>
  <si>
    <t xml:space="preserve">threshold_det</t>
  </si>
  <si>
    <t xml:space="preserve">threshold_seg</t>
  </si>
  <si>
    <t xml:space="preserve">threshold_pose</t>
  </si>
  <si>
    <t xml:space="preserve">timeout_ms</t>
  </si>
  <si>
    <t xml:space="preserve">priority_det</t>
  </si>
  <si>
    <t xml:space="preserve">priority_seg</t>
  </si>
  <si>
    <t xml:space="preserve">priority_pose</t>
  </si>
  <si>
    <t xml:space="preserve">det_latency_ms</t>
  </si>
  <si>
    <t xml:space="preserve">seg_latency_ms</t>
  </si>
  <si>
    <t xml:space="preserve">pose_latency_ms</t>
  </si>
  <si>
    <t xml:space="preserve">cpu_percent</t>
  </si>
  <si>
    <t xml:space="preserve">mem_percent</t>
  </si>
  <si>
    <t xml:space="preserve">voluntary_ctx_switches</t>
  </si>
  <si>
    <t xml:space="preserve">nonvoluntary_ctx_switches</t>
  </si>
  <si>
    <t xml:space="preserve">switches_per_s</t>
  </si>
  <si>
    <t xml:space="preserve">idle_time_pct</t>
  </si>
  <si>
    <t xml:space="preserve">run_time_s</t>
  </si>
  <si>
    <t xml:space="preserve">avg_fps_det</t>
  </si>
  <si>
    <t xml:space="preserve">avg_latency_det</t>
  </si>
  <si>
    <t xml:space="preserve">max_latency_det</t>
  </si>
  <si>
    <t xml:space="preserve">activation_det</t>
  </si>
  <si>
    <t xml:space="preserve">avg_fps_seg</t>
  </si>
  <si>
    <t xml:space="preserve">avg_latency_seg</t>
  </si>
  <si>
    <t xml:space="preserve">max_latency_seg</t>
  </si>
  <si>
    <t xml:space="preserve">activation_seg</t>
  </si>
  <si>
    <t xml:space="preserve">avg_fps_pose</t>
  </si>
  <si>
    <t xml:space="preserve">avg_latency_pose</t>
  </si>
  <si>
    <t xml:space="preserve">max_latency_pose</t>
  </si>
  <si>
    <t xml:space="preserve">activation_pose</t>
  </si>
  <si>
    <t xml:space="preserve">total_time_det_s</t>
  </si>
  <si>
    <t xml:space="preserve">total_time_seg_s</t>
  </si>
  <si>
    <t xml:space="preserve">total_time_pose_s</t>
  </si>
  <si>
    <t xml:space="preserve">avg_preprocess_ms_det</t>
  </si>
  <si>
    <t xml:space="preserve">avg_preprocess_ms_seg</t>
  </si>
  <si>
    <t xml:space="preserve">avg_preprocess_ms_pose</t>
  </si>
  <si>
    <t xml:space="preserve">postprocess_ms_det</t>
  </si>
  <si>
    <t xml:space="preserve">postprocess_ms_seg</t>
  </si>
  <si>
    <t xml:space="preserve">postprocess_ms_pose</t>
  </si>
  <si>
    <t xml:space="preserve">total_time_ms_det</t>
  </si>
  <si>
    <t xml:space="preserve">total_time_ms_seg</t>
  </si>
  <si>
    <t xml:space="preserve">total_time_ms_pose</t>
  </si>
  <si>
    <t xml:space="preserve">NPU</t>
  </si>
  <si>
    <t xml:space="preserve">det</t>
  </si>
  <si>
    <t xml:space="preserve">NaN</t>
  </si>
  <si>
    <t xml:space="preserve">det_seg</t>
  </si>
  <si>
    <t xml:space="preserve">det_pose</t>
  </si>
  <si>
    <t xml:space="preserve">det_seg_pose</t>
  </si>
  <si>
    <t xml:space="preserve">CPU</t>
  </si>
  <si>
    <t xml:space="preserve">n_total_rows</t>
  </si>
  <si>
    <t xml:space="preserve">n_hrtt_rows</t>
  </si>
  <si>
    <t xml:space="preserve">use_det_avg</t>
  </si>
  <si>
    <t xml:space="preserve">use_seg_avg</t>
  </si>
  <si>
    <t xml:space="preserve">use_pose_avg</t>
  </si>
  <si>
    <t xml:space="preserve">batch_det_avg</t>
  </si>
  <si>
    <t xml:space="preserve">batch_seg_avg</t>
  </si>
  <si>
    <t xml:space="preserve">batch_pose_avg</t>
  </si>
  <si>
    <t xml:space="preserve">threshold_det_avg</t>
  </si>
  <si>
    <t xml:space="preserve">threshold_seg_avg</t>
  </si>
  <si>
    <t xml:space="preserve">threshold_pose_avg</t>
  </si>
  <si>
    <t xml:space="preserve">timeout_ms_avg</t>
  </si>
  <si>
    <t xml:space="preserve">priority_det_avg</t>
  </si>
  <si>
    <t xml:space="preserve">priority_seg_avg</t>
  </si>
  <si>
    <t xml:space="preserve">priority_pose_avg</t>
  </si>
  <si>
    <t xml:space="preserve">det_latency_ms_avg</t>
  </si>
  <si>
    <t xml:space="preserve">seg_latency_ms_avg</t>
  </si>
  <si>
    <t xml:space="preserve">pose_latency_ms_avg</t>
  </si>
  <si>
    <t xml:space="preserve">cpu_percent_avg</t>
  </si>
  <si>
    <t xml:space="preserve">mem_percent_avg</t>
  </si>
  <si>
    <t xml:space="preserve">voluntary_ctx_switches_avg</t>
  </si>
  <si>
    <t xml:space="preserve">nonvoluntary_ctx_switches_avg</t>
  </si>
  <si>
    <t xml:space="preserve">npu_percent_avg</t>
  </si>
  <si>
    <t xml:space="preserve">switches_per_s_avg</t>
  </si>
  <si>
    <t xml:space="preserve">idle_time_pct_avg</t>
  </si>
  <si>
    <t xml:space="preserve">run_time_s_avg</t>
  </si>
  <si>
    <t xml:space="preserve">avg_fps_det_avg</t>
  </si>
  <si>
    <t xml:space="preserve">avg_latency_det_avg</t>
  </si>
  <si>
    <t xml:space="preserve">max_latency_det_avg</t>
  </si>
  <si>
    <t xml:space="preserve">activation_det_avg</t>
  </si>
  <si>
    <t xml:space="preserve">avg_fps_seg_avg</t>
  </si>
  <si>
    <t xml:space="preserve">avg_latency_seg_avg</t>
  </si>
  <si>
    <t xml:space="preserve">max_latency_seg_avg</t>
  </si>
  <si>
    <t xml:space="preserve">activation_seg_avg</t>
  </si>
  <si>
    <t xml:space="preserve">avg_fps_pose_avg</t>
  </si>
  <si>
    <t xml:space="preserve">avg_latency_pose_avg</t>
  </si>
  <si>
    <t xml:space="preserve">max_latency_pose_avg</t>
  </si>
  <si>
    <t xml:space="preserve">activation_pose_avg</t>
  </si>
  <si>
    <t xml:space="preserve">total_time_det_s_avg</t>
  </si>
  <si>
    <t xml:space="preserve">total_time_seg_s_avg</t>
  </si>
  <si>
    <t xml:space="preserve">total_time_pose_s_avg</t>
  </si>
  <si>
    <t xml:space="preserve">avg_preprocess_ms_det_avg</t>
  </si>
  <si>
    <t xml:space="preserve">avg_preprocess_ms_seg_avg</t>
  </si>
  <si>
    <t xml:space="preserve">avg_preprocess_ms_pose_avg</t>
  </si>
  <si>
    <t xml:space="preserve">postprocess_ms_det_avg</t>
  </si>
  <si>
    <t xml:space="preserve">postprocess_ms_seg_avg</t>
  </si>
  <si>
    <t xml:space="preserve">postprocess_ms_pose_avg</t>
  </si>
  <si>
    <t xml:space="preserve">total_time_ms_det_avg</t>
  </si>
  <si>
    <t xml:space="preserve">total_time_ms_seg_avg</t>
  </si>
  <si>
    <t xml:space="preserve">total_time_ms_pose_avg</t>
  </si>
  <si>
    <r>
      <rPr>
        <b val="true"/>
        <sz val="10"/>
        <color rgb="FFFFFFFF"/>
        <rFont val="Arial"/>
        <family val="0"/>
        <charset val="1"/>
      </rPr>
      <t xml:space="preserve">det_latency_ms (</t>
    </r>
    <r>
      <rPr>
        <b val="true"/>
        <sz val="10"/>
        <color rgb="FFFFFFFF"/>
        <rFont val="Noto Sans CJK SC"/>
        <family val="2"/>
      </rPr>
      <t xml:space="preserve">앱 측정</t>
    </r>
    <r>
      <rPr>
        <b val="true"/>
        <sz val="10"/>
        <color rgb="FFFFFFFF"/>
        <rFont val="Arial"/>
        <family val="0"/>
        <charset val="1"/>
      </rPr>
      <t xml:space="preserve">, 673</t>
    </r>
    <r>
      <rPr>
        <b val="true"/>
        <sz val="10"/>
        <color rgb="FFFFFFFF"/>
        <rFont val="Noto Sans CJK SC"/>
        <family val="2"/>
      </rPr>
      <t xml:space="preserve">장 전체</t>
    </r>
    <r>
      <rPr>
        <b val="true"/>
        <sz val="10"/>
        <color rgb="FFFFFFFF"/>
        <rFont val="Arial"/>
        <family val="0"/>
        <charset val="1"/>
      </rPr>
      <t xml:space="preserve">) (NPU)</t>
    </r>
  </si>
  <si>
    <r>
      <rPr>
        <b val="true"/>
        <sz val="10"/>
        <color rgb="FFFFFFFF"/>
        <rFont val="Arial"/>
        <family val="0"/>
        <charset val="1"/>
      </rPr>
      <t xml:space="preserve">det_latency_ms (</t>
    </r>
    <r>
      <rPr>
        <b val="true"/>
        <sz val="10"/>
        <color rgb="FFFFFFFF"/>
        <rFont val="Noto Sans CJK SC"/>
        <family val="2"/>
      </rPr>
      <t xml:space="preserve">앱 측정</t>
    </r>
    <r>
      <rPr>
        <b val="true"/>
        <sz val="10"/>
        <color rgb="FFFFFFFF"/>
        <rFont val="Arial"/>
        <family val="0"/>
        <charset val="1"/>
      </rPr>
      <t xml:space="preserve">, 673</t>
    </r>
    <r>
      <rPr>
        <b val="true"/>
        <sz val="10"/>
        <color rgb="FFFFFFFF"/>
        <rFont val="Noto Sans CJK SC"/>
        <family val="2"/>
      </rPr>
      <t xml:space="preserve">장 전체</t>
    </r>
    <r>
      <rPr>
        <b val="true"/>
        <sz val="10"/>
        <color rgb="FFFFFFFF"/>
        <rFont val="Arial"/>
        <family val="0"/>
        <charset val="1"/>
      </rPr>
      <t xml:space="preserve">) (CPU)</t>
    </r>
  </si>
  <si>
    <r>
      <rPr>
        <b val="true"/>
        <sz val="10"/>
        <color rgb="FFFFFFFF"/>
        <rFont val="Arial"/>
        <family val="0"/>
        <charset val="1"/>
      </rPr>
      <t xml:space="preserve">det_latency_ms (</t>
    </r>
    <r>
      <rPr>
        <b val="true"/>
        <sz val="10"/>
        <color rgb="FFFFFFFF"/>
        <rFont val="Noto Sans CJK SC"/>
        <family val="2"/>
      </rPr>
      <t xml:space="preserve">앱 측정</t>
    </r>
    <r>
      <rPr>
        <b val="true"/>
        <sz val="10"/>
        <color rgb="FFFFFFFF"/>
        <rFont val="Arial"/>
        <family val="0"/>
        <charset val="1"/>
      </rPr>
      <t xml:space="preserve">, 673</t>
    </r>
    <r>
      <rPr>
        <b val="true"/>
        <sz val="10"/>
        <color rgb="FFFFFFFF"/>
        <rFont val="Noto Sans CJK SC"/>
        <family val="2"/>
      </rPr>
      <t xml:space="preserve">장 전체</t>
    </r>
    <r>
      <rPr>
        <b val="true"/>
        <sz val="10"/>
        <color rgb="FFFFFFFF"/>
        <rFont val="Arial"/>
        <family val="0"/>
        <charset val="1"/>
      </rPr>
      <t xml:space="preserve">) </t>
    </r>
    <r>
      <rPr>
        <b val="true"/>
        <sz val="10"/>
        <color rgb="FFFFFFFF"/>
        <rFont val="Noto Sans CJK SC"/>
        <family val="2"/>
      </rPr>
      <t xml:space="preserve">차이</t>
    </r>
    <r>
      <rPr>
        <b val="true"/>
        <sz val="10"/>
        <color rgb="FFFFFFFF"/>
        <rFont val="Arial"/>
        <family val="0"/>
        <charset val="1"/>
      </rPr>
      <t xml:space="preserve">(CPU </t>
    </r>
    <r>
      <rPr>
        <b val="true"/>
        <sz val="10"/>
        <color rgb="FFFFFFFF"/>
        <rFont val="Noto Sans CJK SC"/>
        <family val="2"/>
      </rPr>
      <t xml:space="preserve">기준</t>
    </r>
    <r>
      <rPr>
        <b val="true"/>
        <sz val="10"/>
        <color rgb="FFFFFFFF"/>
        <rFont val="Arial"/>
        <family val="0"/>
        <charset val="1"/>
      </rPr>
      <t xml:space="preserve">,%)</t>
    </r>
  </si>
  <si>
    <t xml:space="preserve">cpu_percent (NPU)</t>
  </si>
  <si>
    <t xml:space="preserve">cpu_percent (CPU)</t>
  </si>
  <si>
    <r>
      <rPr>
        <b val="true"/>
        <sz val="10"/>
        <color rgb="FFFFFFFF"/>
        <rFont val="Arial"/>
        <family val="0"/>
        <charset val="1"/>
      </rPr>
      <t xml:space="preserve">cpu_percent </t>
    </r>
    <r>
      <rPr>
        <b val="true"/>
        <sz val="10"/>
        <color rgb="FFFFFFFF"/>
        <rFont val="Noto Sans CJK SC"/>
        <family val="2"/>
      </rPr>
      <t xml:space="preserve">차이</t>
    </r>
    <r>
      <rPr>
        <b val="true"/>
        <sz val="10"/>
        <color rgb="FFFFFFFF"/>
        <rFont val="Arial"/>
        <family val="0"/>
        <charset val="1"/>
      </rPr>
      <t xml:space="preserve">(CPU </t>
    </r>
    <r>
      <rPr>
        <b val="true"/>
        <sz val="10"/>
        <color rgb="FFFFFFFF"/>
        <rFont val="Noto Sans CJK SC"/>
        <family val="2"/>
      </rPr>
      <t xml:space="preserve">기준</t>
    </r>
    <r>
      <rPr>
        <b val="true"/>
        <sz val="10"/>
        <color rgb="FFFFFFFF"/>
        <rFont val="Arial"/>
        <family val="0"/>
        <charset val="1"/>
      </rPr>
      <t xml:space="preserve">,%)</t>
    </r>
  </si>
  <si>
    <r>
      <rPr>
        <b val="true"/>
        <sz val="10"/>
        <color rgb="FFFFFFFF"/>
        <rFont val="Arial"/>
        <family val="0"/>
        <charset val="1"/>
      </rPr>
      <t xml:space="preserve">npu_percent (hrtt device_usage </t>
    </r>
    <r>
      <rPr>
        <b val="true"/>
        <sz val="10"/>
        <color rgb="FFFFFFFF"/>
        <rFont val="Noto Sans CJK SC"/>
        <family val="2"/>
      </rPr>
      <t xml:space="preserve">합</t>
    </r>
    <r>
      <rPr>
        <b val="true"/>
        <sz val="10"/>
        <color rgb="FFFFFFFF"/>
        <rFont val="Arial"/>
        <family val="0"/>
        <charset val="1"/>
      </rPr>
      <t xml:space="preserve">) (NPU)</t>
    </r>
  </si>
  <si>
    <r>
      <rPr>
        <b val="true"/>
        <sz val="10"/>
        <color rgb="FFFFFFFF"/>
        <rFont val="Arial"/>
        <family val="0"/>
        <charset val="1"/>
      </rPr>
      <t xml:space="preserve">npu_percent (hrtt device_usage </t>
    </r>
    <r>
      <rPr>
        <b val="true"/>
        <sz val="10"/>
        <color rgb="FFFFFFFF"/>
        <rFont val="Noto Sans CJK SC"/>
        <family val="2"/>
      </rPr>
      <t xml:space="preserve">합</t>
    </r>
    <r>
      <rPr>
        <b val="true"/>
        <sz val="10"/>
        <color rgb="FFFFFFFF"/>
        <rFont val="Arial"/>
        <family val="0"/>
        <charset val="1"/>
      </rPr>
      <t xml:space="preserve">) (CPU)</t>
    </r>
  </si>
  <si>
    <r>
      <rPr>
        <b val="true"/>
        <sz val="10"/>
        <color rgb="FFFFFFFF"/>
        <rFont val="Arial"/>
        <family val="0"/>
        <charset val="1"/>
      </rPr>
      <t xml:space="preserve">npu_percent (hrtt device_usage </t>
    </r>
    <r>
      <rPr>
        <b val="true"/>
        <sz val="10"/>
        <color rgb="FFFFFFFF"/>
        <rFont val="Noto Sans CJK SC"/>
        <family val="2"/>
      </rPr>
      <t xml:space="preserve">합</t>
    </r>
    <r>
      <rPr>
        <b val="true"/>
        <sz val="10"/>
        <color rgb="FFFFFFFF"/>
        <rFont val="Arial"/>
        <family val="0"/>
        <charset val="1"/>
      </rPr>
      <t xml:space="preserve">) </t>
    </r>
    <r>
      <rPr>
        <b val="true"/>
        <sz val="10"/>
        <color rgb="FFFFFFFF"/>
        <rFont val="Noto Sans CJK SC"/>
        <family val="2"/>
      </rPr>
      <t xml:space="preserve">차이</t>
    </r>
    <r>
      <rPr>
        <b val="true"/>
        <sz val="10"/>
        <color rgb="FFFFFFFF"/>
        <rFont val="Arial"/>
        <family val="0"/>
        <charset val="1"/>
      </rPr>
      <t xml:space="preserve">(CPU </t>
    </r>
    <r>
      <rPr>
        <b val="true"/>
        <sz val="10"/>
        <color rgb="FFFFFFFF"/>
        <rFont val="Noto Sans CJK SC"/>
        <family val="2"/>
      </rPr>
      <t xml:space="preserve">기준</t>
    </r>
    <r>
      <rPr>
        <b val="true"/>
        <sz val="10"/>
        <color rgb="FFFFFFFF"/>
        <rFont val="Arial"/>
        <family val="0"/>
        <charset val="1"/>
      </rPr>
      <t xml:space="preserve">,%)</t>
    </r>
  </si>
  <si>
    <r>
      <rPr>
        <b val="true"/>
        <sz val="10"/>
        <color rgb="FFFFFFFF"/>
        <rFont val="Arial"/>
        <family val="0"/>
        <charset val="1"/>
      </rPr>
      <t xml:space="preserve">seg_latency_ms (</t>
    </r>
    <r>
      <rPr>
        <b val="true"/>
        <sz val="10"/>
        <color rgb="FFFFFFFF"/>
        <rFont val="Noto Sans CJK SC"/>
        <family val="2"/>
      </rPr>
      <t xml:space="preserve">앱 측정</t>
    </r>
    <r>
      <rPr>
        <b val="true"/>
        <sz val="10"/>
        <color rgb="FFFFFFFF"/>
        <rFont val="Arial"/>
        <family val="0"/>
        <charset val="1"/>
      </rPr>
      <t xml:space="preserve">) (NPU)</t>
    </r>
  </si>
  <si>
    <r>
      <rPr>
        <b val="true"/>
        <sz val="10"/>
        <color rgb="FFFFFFFF"/>
        <rFont val="Arial"/>
        <family val="0"/>
        <charset val="1"/>
      </rPr>
      <t xml:space="preserve">seg_latency_ms (</t>
    </r>
    <r>
      <rPr>
        <b val="true"/>
        <sz val="10"/>
        <color rgb="FFFFFFFF"/>
        <rFont val="Noto Sans CJK SC"/>
        <family val="2"/>
      </rPr>
      <t xml:space="preserve">앱 측정</t>
    </r>
    <r>
      <rPr>
        <b val="true"/>
        <sz val="10"/>
        <color rgb="FFFFFFFF"/>
        <rFont val="Arial"/>
        <family val="0"/>
        <charset val="1"/>
      </rPr>
      <t xml:space="preserve">) (CPU)</t>
    </r>
  </si>
  <si>
    <r>
      <rPr>
        <b val="true"/>
        <sz val="10"/>
        <color rgb="FFFFFFFF"/>
        <rFont val="Arial"/>
        <family val="0"/>
        <charset val="1"/>
      </rPr>
      <t xml:space="preserve">seg_latency_ms (</t>
    </r>
    <r>
      <rPr>
        <b val="true"/>
        <sz val="10"/>
        <color rgb="FFFFFFFF"/>
        <rFont val="Noto Sans CJK SC"/>
        <family val="2"/>
      </rPr>
      <t xml:space="preserve">앱 측정</t>
    </r>
    <r>
      <rPr>
        <b val="true"/>
        <sz val="10"/>
        <color rgb="FFFFFFFF"/>
        <rFont val="Arial"/>
        <family val="0"/>
        <charset val="1"/>
      </rPr>
      <t xml:space="preserve">) </t>
    </r>
    <r>
      <rPr>
        <b val="true"/>
        <sz val="10"/>
        <color rgb="FFFFFFFF"/>
        <rFont val="Noto Sans CJK SC"/>
        <family val="2"/>
      </rPr>
      <t xml:space="preserve">차이</t>
    </r>
    <r>
      <rPr>
        <b val="true"/>
        <sz val="10"/>
        <color rgb="FFFFFFFF"/>
        <rFont val="Arial"/>
        <family val="0"/>
        <charset val="1"/>
      </rPr>
      <t xml:space="preserve">(CPU </t>
    </r>
    <r>
      <rPr>
        <b val="true"/>
        <sz val="10"/>
        <color rgb="FFFFFFFF"/>
        <rFont val="Noto Sans CJK SC"/>
        <family val="2"/>
      </rPr>
      <t xml:space="preserve">기준</t>
    </r>
    <r>
      <rPr>
        <b val="true"/>
        <sz val="10"/>
        <color rgb="FFFFFFFF"/>
        <rFont val="Arial"/>
        <family val="0"/>
        <charset val="1"/>
      </rPr>
      <t xml:space="preserve">,%)</t>
    </r>
  </si>
  <si>
    <r>
      <rPr>
        <b val="true"/>
        <sz val="10"/>
        <color rgb="FFFFFFFF"/>
        <rFont val="Arial"/>
        <family val="0"/>
        <charset val="1"/>
      </rPr>
      <t xml:space="preserve">pose_latency_ms (</t>
    </r>
    <r>
      <rPr>
        <b val="true"/>
        <sz val="10"/>
        <color rgb="FFFFFFFF"/>
        <rFont val="Noto Sans CJK SC"/>
        <family val="2"/>
      </rPr>
      <t xml:space="preserve">앱 측정</t>
    </r>
    <r>
      <rPr>
        <b val="true"/>
        <sz val="10"/>
        <color rgb="FFFFFFFF"/>
        <rFont val="Arial"/>
        <family val="0"/>
        <charset val="1"/>
      </rPr>
      <t xml:space="preserve">) (NPU)</t>
    </r>
  </si>
  <si>
    <r>
      <rPr>
        <b val="true"/>
        <sz val="10"/>
        <color rgb="FFFFFFFF"/>
        <rFont val="Arial"/>
        <family val="0"/>
        <charset val="1"/>
      </rPr>
      <t xml:space="preserve">pose_latency_ms (</t>
    </r>
    <r>
      <rPr>
        <b val="true"/>
        <sz val="10"/>
        <color rgb="FFFFFFFF"/>
        <rFont val="Noto Sans CJK SC"/>
        <family val="2"/>
      </rPr>
      <t xml:space="preserve">앱 측정</t>
    </r>
    <r>
      <rPr>
        <b val="true"/>
        <sz val="10"/>
        <color rgb="FFFFFFFF"/>
        <rFont val="Arial"/>
        <family val="0"/>
        <charset val="1"/>
      </rPr>
      <t xml:space="preserve">) (CPU)</t>
    </r>
  </si>
  <si>
    <r>
      <rPr>
        <b val="true"/>
        <sz val="10"/>
        <color rgb="FFFFFFFF"/>
        <rFont val="Arial"/>
        <family val="0"/>
        <charset val="1"/>
      </rPr>
      <t xml:space="preserve">pose_latency_ms (</t>
    </r>
    <r>
      <rPr>
        <b val="true"/>
        <sz val="10"/>
        <color rgb="FFFFFFFF"/>
        <rFont val="Noto Sans CJK SC"/>
        <family val="2"/>
      </rPr>
      <t xml:space="preserve">앱 측정</t>
    </r>
    <r>
      <rPr>
        <b val="true"/>
        <sz val="10"/>
        <color rgb="FFFFFFFF"/>
        <rFont val="Arial"/>
        <family val="0"/>
        <charset val="1"/>
      </rPr>
      <t xml:space="preserve">) </t>
    </r>
    <r>
      <rPr>
        <b val="true"/>
        <sz val="10"/>
        <color rgb="FFFFFFFF"/>
        <rFont val="Noto Sans CJK SC"/>
        <family val="2"/>
      </rPr>
      <t xml:space="preserve">차이</t>
    </r>
    <r>
      <rPr>
        <b val="true"/>
        <sz val="10"/>
        <color rgb="FFFFFFFF"/>
        <rFont val="Arial"/>
        <family val="0"/>
        <charset val="1"/>
      </rPr>
      <t xml:space="preserve">(CPU </t>
    </r>
    <r>
      <rPr>
        <b val="true"/>
        <sz val="10"/>
        <color rgb="FFFFFFFF"/>
        <rFont val="Noto Sans CJK SC"/>
        <family val="2"/>
      </rPr>
      <t xml:space="preserve">기준</t>
    </r>
    <r>
      <rPr>
        <b val="true"/>
        <sz val="10"/>
        <color rgb="FFFFFFFF"/>
        <rFont val="Arial"/>
        <family val="0"/>
        <charset val="1"/>
      </rPr>
      <t xml:space="preserve">,%)</t>
    </r>
  </si>
  <si>
    <r>
      <rPr>
        <b val="true"/>
        <sz val="10"/>
        <color rgb="FFFFFFFF"/>
        <rFont val="Arial"/>
        <family val="0"/>
        <charset val="1"/>
      </rPr>
      <t xml:space="preserve">avg_latency_det (hrtt, </t>
    </r>
    <r>
      <rPr>
        <b val="true"/>
        <sz val="10"/>
        <color rgb="FFFFFFFF"/>
        <rFont val="Noto Sans CJK SC"/>
        <family val="2"/>
      </rPr>
      <t xml:space="preserve">트레이스 길이 </t>
    </r>
    <r>
      <rPr>
        <b val="true"/>
        <sz val="10"/>
        <color rgb="FFFFFFFF"/>
        <rFont val="Arial"/>
        <family val="0"/>
        <charset val="1"/>
      </rPr>
      <t xml:space="preserve">caveat </t>
    </r>
    <r>
      <rPr>
        <b val="true"/>
        <sz val="10"/>
        <color rgb="FFFFFFFF"/>
        <rFont val="Noto Sans CJK SC"/>
        <family val="2"/>
      </rPr>
      <t xml:space="preserve">참고</t>
    </r>
    <r>
      <rPr>
        <b val="true"/>
        <sz val="10"/>
        <color rgb="FFFFFFFF"/>
        <rFont val="Arial"/>
        <family val="0"/>
        <charset val="1"/>
      </rPr>
      <t xml:space="preserve">) (NPU)</t>
    </r>
  </si>
  <si>
    <r>
      <rPr>
        <b val="true"/>
        <sz val="10"/>
        <color rgb="FFFFFFFF"/>
        <rFont val="Arial"/>
        <family val="0"/>
        <charset val="1"/>
      </rPr>
      <t xml:space="preserve">avg_latency_det (hrtt, </t>
    </r>
    <r>
      <rPr>
        <b val="true"/>
        <sz val="10"/>
        <color rgb="FFFFFFFF"/>
        <rFont val="Noto Sans CJK SC"/>
        <family val="2"/>
      </rPr>
      <t xml:space="preserve">트레이스 길이 </t>
    </r>
    <r>
      <rPr>
        <b val="true"/>
        <sz val="10"/>
        <color rgb="FFFFFFFF"/>
        <rFont val="Arial"/>
        <family val="0"/>
        <charset val="1"/>
      </rPr>
      <t xml:space="preserve">caveat </t>
    </r>
    <r>
      <rPr>
        <b val="true"/>
        <sz val="10"/>
        <color rgb="FFFFFFFF"/>
        <rFont val="Noto Sans CJK SC"/>
        <family val="2"/>
      </rPr>
      <t xml:space="preserve">참고</t>
    </r>
    <r>
      <rPr>
        <b val="true"/>
        <sz val="10"/>
        <color rgb="FFFFFFFF"/>
        <rFont val="Arial"/>
        <family val="0"/>
        <charset val="1"/>
      </rPr>
      <t xml:space="preserve">) (CPU)</t>
    </r>
  </si>
  <si>
    <r>
      <rPr>
        <b val="true"/>
        <sz val="10"/>
        <color rgb="FFFFFFFF"/>
        <rFont val="Arial"/>
        <family val="0"/>
        <charset val="1"/>
      </rPr>
      <t xml:space="preserve">avg_latency_det (hrtt, </t>
    </r>
    <r>
      <rPr>
        <b val="true"/>
        <sz val="10"/>
        <color rgb="FFFFFFFF"/>
        <rFont val="Noto Sans CJK SC"/>
        <family val="2"/>
      </rPr>
      <t xml:space="preserve">트레이스 길이 </t>
    </r>
    <r>
      <rPr>
        <b val="true"/>
        <sz val="10"/>
        <color rgb="FFFFFFFF"/>
        <rFont val="Arial"/>
        <family val="0"/>
        <charset val="1"/>
      </rPr>
      <t xml:space="preserve">caveat </t>
    </r>
    <r>
      <rPr>
        <b val="true"/>
        <sz val="10"/>
        <color rgb="FFFFFFFF"/>
        <rFont val="Noto Sans CJK SC"/>
        <family val="2"/>
      </rPr>
      <t xml:space="preserve">참고</t>
    </r>
    <r>
      <rPr>
        <b val="true"/>
        <sz val="10"/>
        <color rgb="FFFFFFFF"/>
        <rFont val="Arial"/>
        <family val="0"/>
        <charset val="1"/>
      </rPr>
      <t xml:space="preserve">) </t>
    </r>
    <r>
      <rPr>
        <b val="true"/>
        <sz val="10"/>
        <color rgb="FFFFFFFF"/>
        <rFont val="Noto Sans CJK SC"/>
        <family val="2"/>
      </rPr>
      <t xml:space="preserve">차이</t>
    </r>
    <r>
      <rPr>
        <b val="true"/>
        <sz val="10"/>
        <color rgb="FFFFFFFF"/>
        <rFont val="Arial"/>
        <family val="0"/>
        <charset val="1"/>
      </rPr>
      <t xml:space="preserve">(CPU </t>
    </r>
    <r>
      <rPr>
        <b val="true"/>
        <sz val="10"/>
        <color rgb="FFFFFFFF"/>
        <rFont val="Noto Sans CJK SC"/>
        <family val="2"/>
      </rPr>
      <t xml:space="preserve">기준</t>
    </r>
    <r>
      <rPr>
        <b val="true"/>
        <sz val="10"/>
        <color rgb="FFFFFFFF"/>
        <rFont val="Arial"/>
        <family val="0"/>
        <charset val="1"/>
      </rPr>
      <t xml:space="preserve">,%)</t>
    </r>
  </si>
  <si>
    <r>
      <rPr>
        <b val="true"/>
        <sz val="10"/>
        <color rgb="FFFFFFFF"/>
        <rFont val="Arial"/>
        <family val="0"/>
        <charset val="1"/>
      </rPr>
      <t xml:space="preserve">total_time_ms_det (</t>
    </r>
    <r>
      <rPr>
        <b val="true"/>
        <sz val="10"/>
        <color rgb="FFFFFFFF"/>
        <rFont val="Noto Sans CJK SC"/>
        <family val="2"/>
      </rPr>
      <t xml:space="preserve">전처리</t>
    </r>
    <r>
      <rPr>
        <b val="true"/>
        <sz val="10"/>
        <color rgb="FFFFFFFF"/>
        <rFont val="Arial"/>
        <family val="0"/>
        <charset val="1"/>
      </rPr>
      <t xml:space="preserve">+latency+</t>
    </r>
    <r>
      <rPr>
        <b val="true"/>
        <sz val="10"/>
        <color rgb="FFFFFFFF"/>
        <rFont val="Noto Sans CJK SC"/>
        <family val="2"/>
      </rPr>
      <t xml:space="preserve">후처리</t>
    </r>
    <r>
      <rPr>
        <b val="true"/>
        <sz val="10"/>
        <color rgb="FFFFFFFF"/>
        <rFont val="Arial"/>
        <family val="0"/>
        <charset val="1"/>
      </rPr>
      <t xml:space="preserve">, </t>
    </r>
    <r>
      <rPr>
        <b val="true"/>
        <sz val="10"/>
        <color rgb="FFFFFFFF"/>
        <rFont val="Noto Sans CJK SC"/>
        <family val="2"/>
      </rPr>
      <t xml:space="preserve">앱 측정</t>
    </r>
    <r>
      <rPr>
        <b val="true"/>
        <sz val="10"/>
        <color rgb="FFFFFFFF"/>
        <rFont val="Arial"/>
        <family val="0"/>
        <charset val="1"/>
      </rPr>
      <t xml:space="preserve">) (NPU)</t>
    </r>
  </si>
  <si>
    <r>
      <rPr>
        <b val="true"/>
        <sz val="10"/>
        <color rgb="FFFFFFFF"/>
        <rFont val="Arial"/>
        <family val="0"/>
        <charset val="1"/>
      </rPr>
      <t xml:space="preserve">total_time_ms_det (</t>
    </r>
    <r>
      <rPr>
        <b val="true"/>
        <sz val="10"/>
        <color rgb="FFFFFFFF"/>
        <rFont val="Noto Sans CJK SC"/>
        <family val="2"/>
      </rPr>
      <t xml:space="preserve">전처리</t>
    </r>
    <r>
      <rPr>
        <b val="true"/>
        <sz val="10"/>
        <color rgb="FFFFFFFF"/>
        <rFont val="Arial"/>
        <family val="0"/>
        <charset val="1"/>
      </rPr>
      <t xml:space="preserve">+latency+</t>
    </r>
    <r>
      <rPr>
        <b val="true"/>
        <sz val="10"/>
        <color rgb="FFFFFFFF"/>
        <rFont val="Noto Sans CJK SC"/>
        <family val="2"/>
      </rPr>
      <t xml:space="preserve">후처리</t>
    </r>
    <r>
      <rPr>
        <b val="true"/>
        <sz val="10"/>
        <color rgb="FFFFFFFF"/>
        <rFont val="Arial"/>
        <family val="0"/>
        <charset val="1"/>
      </rPr>
      <t xml:space="preserve">, </t>
    </r>
    <r>
      <rPr>
        <b val="true"/>
        <sz val="10"/>
        <color rgb="FFFFFFFF"/>
        <rFont val="Noto Sans CJK SC"/>
        <family val="2"/>
      </rPr>
      <t xml:space="preserve">앱 측정</t>
    </r>
    <r>
      <rPr>
        <b val="true"/>
        <sz val="10"/>
        <color rgb="FFFFFFFF"/>
        <rFont val="Arial"/>
        <family val="0"/>
        <charset val="1"/>
      </rPr>
      <t xml:space="preserve">) (CPU)</t>
    </r>
  </si>
  <si>
    <r>
      <rPr>
        <b val="true"/>
        <sz val="10"/>
        <color rgb="FFFFFFFF"/>
        <rFont val="Arial"/>
        <family val="0"/>
        <charset val="1"/>
      </rPr>
      <t xml:space="preserve">total_time_ms_det (</t>
    </r>
    <r>
      <rPr>
        <b val="true"/>
        <sz val="10"/>
        <color rgb="FFFFFFFF"/>
        <rFont val="Noto Sans CJK SC"/>
        <family val="2"/>
      </rPr>
      <t xml:space="preserve">전처리</t>
    </r>
    <r>
      <rPr>
        <b val="true"/>
        <sz val="10"/>
        <color rgb="FFFFFFFF"/>
        <rFont val="Arial"/>
        <family val="0"/>
        <charset val="1"/>
      </rPr>
      <t xml:space="preserve">+latency+</t>
    </r>
    <r>
      <rPr>
        <b val="true"/>
        <sz val="10"/>
        <color rgb="FFFFFFFF"/>
        <rFont val="Noto Sans CJK SC"/>
        <family val="2"/>
      </rPr>
      <t xml:space="preserve">후처리</t>
    </r>
    <r>
      <rPr>
        <b val="true"/>
        <sz val="10"/>
        <color rgb="FFFFFFFF"/>
        <rFont val="Arial"/>
        <family val="0"/>
        <charset val="1"/>
      </rPr>
      <t xml:space="preserve">, </t>
    </r>
    <r>
      <rPr>
        <b val="true"/>
        <sz val="10"/>
        <color rgb="FFFFFFFF"/>
        <rFont val="Noto Sans CJK SC"/>
        <family val="2"/>
      </rPr>
      <t xml:space="preserve">앱 측정</t>
    </r>
    <r>
      <rPr>
        <b val="true"/>
        <sz val="10"/>
        <color rgb="FFFFFFFF"/>
        <rFont val="Arial"/>
        <family val="0"/>
        <charset val="1"/>
      </rPr>
      <t xml:space="preserve">) </t>
    </r>
    <r>
      <rPr>
        <b val="true"/>
        <sz val="10"/>
        <color rgb="FFFFFFFF"/>
        <rFont val="Noto Sans CJK SC"/>
        <family val="2"/>
      </rPr>
      <t xml:space="preserve">차이</t>
    </r>
    <r>
      <rPr>
        <b val="true"/>
        <sz val="10"/>
        <color rgb="FFFFFFFF"/>
        <rFont val="Arial"/>
        <family val="0"/>
        <charset val="1"/>
      </rPr>
      <t xml:space="preserve">(CPU </t>
    </r>
    <r>
      <rPr>
        <b val="true"/>
        <sz val="10"/>
        <color rgb="FFFFFFFF"/>
        <rFont val="Noto Sans CJK SC"/>
        <family val="2"/>
      </rPr>
      <t xml:space="preserve">기준</t>
    </r>
    <r>
      <rPr>
        <b val="true"/>
        <sz val="10"/>
        <color rgb="FFFFFFFF"/>
        <rFont val="Arial"/>
        <family val="0"/>
        <charset val="1"/>
      </rPr>
      <t xml:space="preserve">,%)</t>
    </r>
  </si>
  <si>
    <r>
      <rPr>
        <i val="true"/>
        <sz val="9"/>
        <color rgb="FF666666"/>
        <rFont val="Noto Sans CJK SC"/>
        <family val="2"/>
      </rPr>
      <t xml:space="preserve">차이</t>
    </r>
    <r>
      <rPr>
        <i val="true"/>
        <sz val="9"/>
        <color rgb="FF666666"/>
        <rFont val="Arial"/>
        <family val="0"/>
        <charset val="1"/>
      </rPr>
      <t xml:space="preserve">(%) </t>
    </r>
    <r>
      <rPr>
        <i val="true"/>
        <sz val="9"/>
        <color rgb="FF666666"/>
        <rFont val="Noto Sans CJK SC"/>
        <family val="2"/>
      </rPr>
      <t xml:space="preserve">는 </t>
    </r>
    <r>
      <rPr>
        <i val="true"/>
        <sz val="9"/>
        <color rgb="FF666666"/>
        <rFont val="Arial"/>
        <family val="0"/>
        <charset val="1"/>
      </rPr>
      <t xml:space="preserve">(NPU-CPU)/CPU — </t>
    </r>
    <r>
      <rPr>
        <i val="true"/>
        <sz val="9"/>
        <color rgb="FF666666"/>
        <rFont val="Noto Sans CJK SC"/>
        <family val="2"/>
      </rPr>
      <t xml:space="preserve">양수면 </t>
    </r>
    <r>
      <rPr>
        <i val="true"/>
        <sz val="9"/>
        <color rgb="FF666666"/>
        <rFont val="Arial"/>
        <family val="0"/>
        <charset val="1"/>
      </rPr>
      <t xml:space="preserve">NPU</t>
    </r>
    <r>
      <rPr>
        <i val="true"/>
        <sz val="9"/>
        <color rgb="FF666666"/>
        <rFont val="Noto Sans CJK SC"/>
        <family val="2"/>
      </rPr>
      <t xml:space="preserve">가 더 큼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느림</t>
    </r>
    <r>
      <rPr>
        <i val="true"/>
        <sz val="9"/>
        <color rgb="FF666666"/>
        <rFont val="Arial"/>
        <family val="0"/>
        <charset val="1"/>
      </rPr>
      <t xml:space="preserve">/</t>
    </r>
    <r>
      <rPr>
        <i val="true"/>
        <sz val="9"/>
        <color rgb="FF666666"/>
        <rFont val="Noto Sans CJK SC"/>
        <family val="2"/>
      </rPr>
      <t xml:space="preserve">높음</t>
    </r>
    <r>
      <rPr>
        <i val="true"/>
        <sz val="9"/>
        <color rgb="FF666666"/>
        <rFont val="Arial"/>
        <family val="0"/>
        <charset val="1"/>
      </rPr>
      <t xml:space="preserve">), </t>
    </r>
    <r>
      <rPr>
        <i val="true"/>
        <sz val="9"/>
        <color rgb="FF666666"/>
        <rFont val="Noto Sans CJK SC"/>
        <family val="2"/>
      </rPr>
      <t xml:space="preserve">음수면 </t>
    </r>
    <r>
      <rPr>
        <i val="true"/>
        <sz val="9"/>
        <color rgb="FF666666"/>
        <rFont val="Arial"/>
        <family val="0"/>
        <charset val="1"/>
      </rPr>
      <t xml:space="preserve">NPU</t>
    </r>
    <r>
      <rPr>
        <i val="true"/>
        <sz val="9"/>
        <color rgb="FF666666"/>
        <rFont val="Noto Sans CJK SC"/>
        <family val="2"/>
      </rPr>
      <t xml:space="preserve">가 더 작음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빠름</t>
    </r>
    <r>
      <rPr>
        <i val="true"/>
        <sz val="9"/>
        <color rgb="FF666666"/>
        <rFont val="Arial"/>
        <family val="0"/>
        <charset val="1"/>
      </rPr>
      <t xml:space="preserve">/</t>
    </r>
    <r>
      <rPr>
        <i val="true"/>
        <sz val="9"/>
        <color rgb="FF666666"/>
        <rFont val="Noto Sans CJK SC"/>
        <family val="2"/>
      </rPr>
      <t xml:space="preserve">낮음</t>
    </r>
    <r>
      <rPr>
        <i val="true"/>
        <sz val="9"/>
        <color rgb="FF666666"/>
        <rFont val="Arial"/>
        <family val="0"/>
        <charset val="1"/>
      </rPr>
      <t xml:space="preserve">).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</si>
</sst>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b val="true"/>
      <sz val="10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C00000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i val="true"/>
      <sz val="9"/>
      <color rgb="FF666666"/>
      <name val="Noto Sans CJK SC"/>
      <family val="2"/>
    </font>
    <font>
      <i val="true"/>
      <sz val="9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20.1" hidden="false" customHeight="false" outlineLevel="0" collapsed="false">
      <c r="A1" s="1" t="s">
        <v>0</v>
      </c>
    </row>
    <row r="3" customFormat="false" ht="44" hidden="false" customHeight="false" outlineLevel="0" collapsed="false">
      <c r="A3" s="2" t="s">
        <v>1</v>
      </c>
      <c r="B3" s="3" t="s">
        <v>2</v>
      </c>
    </row>
    <row r="4" customFormat="false" ht="29.8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4" t="s">
        <v>5</v>
      </c>
      <c r="B5" s="3" t="s">
        <v>6</v>
      </c>
    </row>
    <row r="7" customFormat="false" ht="17.15" hidden="false" customHeight="false" outlineLevel="0" collapsed="false">
      <c r="A7" s="5" t="s">
        <v>7</v>
      </c>
    </row>
    <row r="8" customFormat="false" ht="189.75" hidden="false" customHeight="true" outlineLevel="0" collapsed="false">
      <c r="A8" s="6" t="s">
        <v>8</v>
      </c>
      <c r="B8" s="6"/>
    </row>
    <row r="10" customFormat="false" ht="15" hidden="false" customHeight="false" outlineLevel="0" collapsed="false">
      <c r="A10" s="4" t="s">
        <v>9</v>
      </c>
      <c r="B10" s="7" t="s">
        <v>10</v>
      </c>
    </row>
    <row r="11" customFormat="false" ht="15" hidden="false" customHeight="false" outlineLevel="0" collapsed="false">
      <c r="A11" s="4" t="s">
        <v>11</v>
      </c>
      <c r="B11" s="7" t="s">
        <v>12</v>
      </c>
    </row>
    <row r="12" customFormat="false" ht="29.85" hidden="false" customHeight="false" outlineLevel="0" collapsed="false">
      <c r="A12" s="4" t="s">
        <v>13</v>
      </c>
      <c r="B12" s="3" t="s">
        <v>14</v>
      </c>
    </row>
    <row r="13" customFormat="false" ht="15" hidden="false" customHeight="false" outlineLevel="0" collapsed="false">
      <c r="A13" s="4" t="s">
        <v>15</v>
      </c>
      <c r="B13" s="3" t="s">
        <v>16</v>
      </c>
    </row>
    <row r="14" customFormat="false" ht="15" hidden="false" customHeight="false" outlineLevel="0" collapsed="false">
      <c r="A14" s="4" t="s">
        <v>17</v>
      </c>
      <c r="B14" s="3" t="s">
        <v>18</v>
      </c>
    </row>
    <row r="15" customFormat="false" ht="15" hidden="false" customHeight="false" outlineLevel="0" collapsed="false">
      <c r="A15" s="4" t="s">
        <v>19</v>
      </c>
      <c r="B15" s="7" t="s">
        <v>20</v>
      </c>
    </row>
    <row r="16" customFormat="false" ht="15" hidden="false" customHeight="false" outlineLevel="0" collapsed="false">
      <c r="A16" s="4" t="s">
        <v>21</v>
      </c>
      <c r="B16" s="3" t="s">
        <v>22</v>
      </c>
    </row>
  </sheetData>
  <mergeCells count="1">
    <mergeCell ref="A8:B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8" min="2" style="0" width="11"/>
    <col collapsed="false" customWidth="true" hidden="false" outlineLevel="0" max="9" min="9" style="0" width="12"/>
    <col collapsed="false" customWidth="true" hidden="false" outlineLevel="0" max="11" min="10" style="0" width="15"/>
    <col collapsed="false" customWidth="true" hidden="false" outlineLevel="0" max="12" min="12" style="0" width="16"/>
    <col collapsed="false" customWidth="true" hidden="false" outlineLevel="0" max="13" min="13" style="0" width="12"/>
    <col collapsed="false" customWidth="true" hidden="false" outlineLevel="0" max="15" min="14" style="0" width="14"/>
    <col collapsed="false" customWidth="true" hidden="false" outlineLevel="0" max="16" min="16" style="0" width="15"/>
    <col collapsed="false" customWidth="true" hidden="false" outlineLevel="0" max="18" min="17" style="0" width="16"/>
    <col collapsed="false" customWidth="true" hidden="false" outlineLevel="0" max="19" min="19" style="0" width="17"/>
    <col collapsed="false" customWidth="true" hidden="false" outlineLevel="0" max="21" min="20" style="0" width="13"/>
    <col collapsed="false" customWidth="true" hidden="false" outlineLevel="0" max="23" min="22" style="0" width="20"/>
    <col collapsed="false" customWidth="true" hidden="false" outlineLevel="0" max="24" min="24" style="0" width="13"/>
    <col collapsed="false" customWidth="true" hidden="false" outlineLevel="0" max="25" min="25" style="0" width="16"/>
    <col collapsed="false" customWidth="true" hidden="false" outlineLevel="0" max="26" min="26" style="0" width="15"/>
    <col collapsed="false" customWidth="true" hidden="false" outlineLevel="0" max="27" min="27" style="0" width="12"/>
    <col collapsed="false" customWidth="true" hidden="false" outlineLevel="0" max="28" min="28" style="0" width="13"/>
    <col collapsed="false" customWidth="true" hidden="false" outlineLevel="0" max="30" min="29" style="0" width="17"/>
    <col collapsed="false" customWidth="true" hidden="false" outlineLevel="0" max="31" min="31" style="0" width="16"/>
    <col collapsed="false" customWidth="true" hidden="false" outlineLevel="0" max="32" min="32" style="0" width="13"/>
    <col collapsed="false" customWidth="true" hidden="false" outlineLevel="0" max="34" min="33" style="0" width="17"/>
    <col collapsed="false" customWidth="true" hidden="false" outlineLevel="0" max="35" min="35" style="0" width="16"/>
    <col collapsed="false" customWidth="true" hidden="false" outlineLevel="0" max="36" min="36" style="0" width="14"/>
    <col collapsed="false" customWidth="true" hidden="false" outlineLevel="0" max="38" min="37" style="0" width="18"/>
    <col collapsed="false" customWidth="true" hidden="false" outlineLevel="0" max="39" min="39" style="0" width="17"/>
    <col collapsed="false" customWidth="true" hidden="false" outlineLevel="0" max="41" min="40" style="0" width="18"/>
    <col collapsed="false" customWidth="true" hidden="false" outlineLevel="0" max="42" min="42" style="0" width="19"/>
    <col collapsed="false" customWidth="true" hidden="false" outlineLevel="0" max="48" min="43" style="0" width="20"/>
    <col collapsed="false" customWidth="true" hidden="false" outlineLevel="0" max="50" min="49" style="0" width="19"/>
    <col collapsed="false" customWidth="true" hidden="false" outlineLevel="0" max="51" min="51" style="0" width="20"/>
  </cols>
  <sheetData>
    <row r="1" customFormat="false" ht="15" hidden="false" customHeight="false" outlineLevel="0" collapsed="false">
      <c r="A1" s="8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  <c r="I1" s="8" t="s">
        <v>31</v>
      </c>
      <c r="J1" s="8" t="s">
        <v>32</v>
      </c>
      <c r="K1" s="8" t="s">
        <v>33</v>
      </c>
      <c r="L1" s="8" t="s">
        <v>34</v>
      </c>
      <c r="M1" s="8" t="s">
        <v>35</v>
      </c>
      <c r="N1" s="8" t="s">
        <v>36</v>
      </c>
      <c r="O1" s="8" t="s">
        <v>37</v>
      </c>
      <c r="P1" s="8" t="s">
        <v>38</v>
      </c>
      <c r="Q1" s="8" t="s">
        <v>39</v>
      </c>
      <c r="R1" s="8" t="s">
        <v>40</v>
      </c>
      <c r="S1" s="8" t="s">
        <v>41</v>
      </c>
      <c r="T1" s="8" t="s">
        <v>42</v>
      </c>
      <c r="U1" s="8" t="s">
        <v>43</v>
      </c>
      <c r="V1" s="8" t="s">
        <v>44</v>
      </c>
      <c r="W1" s="8" t="s">
        <v>45</v>
      </c>
      <c r="X1" s="8" t="s">
        <v>13</v>
      </c>
      <c r="Y1" s="8" t="s">
        <v>46</v>
      </c>
      <c r="Z1" s="8" t="s">
        <v>47</v>
      </c>
      <c r="AA1" s="8" t="s">
        <v>48</v>
      </c>
      <c r="AB1" s="8" t="s">
        <v>49</v>
      </c>
      <c r="AC1" s="8" t="s">
        <v>50</v>
      </c>
      <c r="AD1" s="8" t="s">
        <v>51</v>
      </c>
      <c r="AE1" s="8" t="s">
        <v>52</v>
      </c>
      <c r="AF1" s="8" t="s">
        <v>53</v>
      </c>
      <c r="AG1" s="8" t="s">
        <v>54</v>
      </c>
      <c r="AH1" s="8" t="s">
        <v>55</v>
      </c>
      <c r="AI1" s="8" t="s">
        <v>56</v>
      </c>
      <c r="AJ1" s="8" t="s">
        <v>57</v>
      </c>
      <c r="AK1" s="8" t="s">
        <v>58</v>
      </c>
      <c r="AL1" s="8" t="s">
        <v>59</v>
      </c>
      <c r="AM1" s="8" t="s">
        <v>60</v>
      </c>
      <c r="AN1" s="8" t="s">
        <v>61</v>
      </c>
      <c r="AO1" s="8" t="s">
        <v>62</v>
      </c>
      <c r="AP1" s="8" t="s">
        <v>63</v>
      </c>
      <c r="AQ1" s="8" t="s">
        <v>64</v>
      </c>
      <c r="AR1" s="8" t="s">
        <v>65</v>
      </c>
      <c r="AS1" s="8" t="s">
        <v>66</v>
      </c>
      <c r="AT1" s="8" t="s">
        <v>67</v>
      </c>
      <c r="AU1" s="8" t="s">
        <v>68</v>
      </c>
      <c r="AV1" s="8" t="s">
        <v>69</v>
      </c>
      <c r="AW1" s="8" t="s">
        <v>70</v>
      </c>
      <c r="AX1" s="8" t="s">
        <v>71</v>
      </c>
      <c r="AY1" s="8" t="s">
        <v>72</v>
      </c>
    </row>
    <row r="2" customFormat="false" ht="15" hidden="false" customHeight="false" outlineLevel="0" collapsed="false">
      <c r="A2" s="9" t="s">
        <v>73</v>
      </c>
      <c r="B2" s="9" t="s">
        <v>74</v>
      </c>
      <c r="C2" s="9" t="n">
        <v>1</v>
      </c>
      <c r="D2" s="9" t="n">
        <v>1</v>
      </c>
      <c r="E2" s="9" t="n">
        <v>0</v>
      </c>
      <c r="F2" s="9" t="n">
        <v>0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152.881</v>
      </c>
      <c r="R2" s="9" t="s">
        <v>75</v>
      </c>
      <c r="S2" s="9" t="s">
        <v>75</v>
      </c>
      <c r="T2" s="9" t="n">
        <v>23.3098</v>
      </c>
      <c r="U2" s="9" t="n">
        <v>20.4009</v>
      </c>
      <c r="V2" s="9" t="n">
        <v>1336</v>
      </c>
      <c r="W2" s="9" t="n">
        <v>748</v>
      </c>
      <c r="X2" s="9" t="s">
        <v>75</v>
      </c>
      <c r="Y2" s="9" t="s">
        <v>75</v>
      </c>
      <c r="Z2" s="9" t="s">
        <v>75</v>
      </c>
      <c r="AA2" s="9" t="n">
        <v>9.62532</v>
      </c>
      <c r="AB2" s="9" t="s">
        <v>75</v>
      </c>
      <c r="AC2" s="9" t="s">
        <v>75</v>
      </c>
      <c r="AD2" s="9" t="s">
        <v>75</v>
      </c>
      <c r="AE2" s="9" t="s">
        <v>75</v>
      </c>
      <c r="AF2" s="9" t="s">
        <v>75</v>
      </c>
      <c r="AG2" s="9" t="s">
        <v>75</v>
      </c>
      <c r="AH2" s="9" t="s">
        <v>75</v>
      </c>
      <c r="AI2" s="9" t="s">
        <v>75</v>
      </c>
      <c r="AJ2" s="9" t="s">
        <v>75</v>
      </c>
      <c r="AK2" s="9" t="s">
        <v>75</v>
      </c>
      <c r="AL2" s="9" t="s">
        <v>75</v>
      </c>
      <c r="AM2" s="9" t="s">
        <v>75</v>
      </c>
      <c r="AN2" s="9" t="n">
        <v>9.6129</v>
      </c>
      <c r="AO2" s="9" t="s">
        <v>75</v>
      </c>
      <c r="AP2" s="9" t="s">
        <v>75</v>
      </c>
      <c r="AQ2" s="9" t="n">
        <v>4.91882</v>
      </c>
      <c r="AR2" s="9" t="s">
        <v>75</v>
      </c>
      <c r="AS2" s="9" t="s">
        <v>75</v>
      </c>
      <c r="AT2" s="9" t="n">
        <v>0.0110146</v>
      </c>
      <c r="AU2" s="9" t="s">
        <v>75</v>
      </c>
      <c r="AV2" s="9" t="s">
        <v>75</v>
      </c>
      <c r="AW2" s="9" t="n">
        <v>157.81</v>
      </c>
      <c r="AX2" s="9" t="s">
        <v>75</v>
      </c>
      <c r="AY2" s="9" t="s">
        <v>75</v>
      </c>
    </row>
    <row r="3" customFormat="false" ht="15" hidden="false" customHeight="false" outlineLevel="0" collapsed="false">
      <c r="A3" s="9" t="s">
        <v>73</v>
      </c>
      <c r="B3" s="9" t="s">
        <v>74</v>
      </c>
      <c r="C3" s="9" t="n">
        <v>2</v>
      </c>
      <c r="D3" s="9" t="n">
        <v>1</v>
      </c>
      <c r="E3" s="9" t="n">
        <v>0</v>
      </c>
      <c r="F3" s="9" t="n">
        <v>0</v>
      </c>
      <c r="G3" s="9" t="n">
        <v>1</v>
      </c>
      <c r="H3" s="9" t="n">
        <v>1</v>
      </c>
      <c r="I3" s="9" t="n">
        <v>1</v>
      </c>
      <c r="J3" s="9" t="n">
        <v>1</v>
      </c>
      <c r="K3" s="9" t="n">
        <v>1</v>
      </c>
      <c r="L3" s="9" t="n">
        <v>1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152.921</v>
      </c>
      <c r="R3" s="9" t="s">
        <v>75</v>
      </c>
      <c r="S3" s="9" t="s">
        <v>75</v>
      </c>
      <c r="T3" s="9" t="n">
        <v>22.6509</v>
      </c>
      <c r="U3" s="9" t="n">
        <v>20.1188</v>
      </c>
      <c r="V3" s="9" t="n">
        <v>1337</v>
      </c>
      <c r="W3" s="9" t="n">
        <v>760</v>
      </c>
      <c r="X3" s="9" t="s">
        <v>75</v>
      </c>
      <c r="Y3" s="9" t="s">
        <v>75</v>
      </c>
      <c r="Z3" s="9" t="s">
        <v>75</v>
      </c>
      <c r="AA3" s="9" t="n">
        <v>9.62351</v>
      </c>
      <c r="AB3" s="9" t="s">
        <v>75</v>
      </c>
      <c r="AC3" s="9" t="s">
        <v>75</v>
      </c>
      <c r="AD3" s="9" t="s">
        <v>75</v>
      </c>
      <c r="AE3" s="9" t="s">
        <v>75</v>
      </c>
      <c r="AF3" s="9" t="s">
        <v>75</v>
      </c>
      <c r="AG3" s="9" t="s">
        <v>75</v>
      </c>
      <c r="AH3" s="9" t="s">
        <v>75</v>
      </c>
      <c r="AI3" s="9" t="s">
        <v>75</v>
      </c>
      <c r="AJ3" s="9" t="s">
        <v>75</v>
      </c>
      <c r="AK3" s="9" t="s">
        <v>75</v>
      </c>
      <c r="AL3" s="9" t="s">
        <v>75</v>
      </c>
      <c r="AM3" s="9" t="s">
        <v>75</v>
      </c>
      <c r="AN3" s="9" t="n">
        <v>9.61139</v>
      </c>
      <c r="AO3" s="9" t="s">
        <v>75</v>
      </c>
      <c r="AP3" s="9" t="s">
        <v>75</v>
      </c>
      <c r="AQ3" s="9" t="n">
        <v>4.81591</v>
      </c>
      <c r="AR3" s="9" t="s">
        <v>75</v>
      </c>
      <c r="AS3" s="9" t="s">
        <v>75</v>
      </c>
      <c r="AT3" s="9" t="n">
        <v>0.00992016</v>
      </c>
      <c r="AU3" s="9" t="s">
        <v>75</v>
      </c>
      <c r="AV3" s="9" t="s">
        <v>75</v>
      </c>
      <c r="AW3" s="9" t="n">
        <v>157.747</v>
      </c>
      <c r="AX3" s="9" t="s">
        <v>75</v>
      </c>
      <c r="AY3" s="9" t="s">
        <v>75</v>
      </c>
    </row>
    <row r="4" customFormat="false" ht="15" hidden="false" customHeight="false" outlineLevel="0" collapsed="false">
      <c r="A4" s="9" t="s">
        <v>73</v>
      </c>
      <c r="B4" s="9" t="s">
        <v>74</v>
      </c>
      <c r="C4" s="9" t="n">
        <v>3</v>
      </c>
      <c r="D4" s="9" t="n">
        <v>1</v>
      </c>
      <c r="E4" s="9" t="n">
        <v>0</v>
      </c>
      <c r="F4" s="9" t="n">
        <v>0</v>
      </c>
      <c r="G4" s="9" t="n">
        <v>1</v>
      </c>
      <c r="H4" s="9" t="n">
        <v>1</v>
      </c>
      <c r="I4" s="9" t="n">
        <v>1</v>
      </c>
      <c r="J4" s="9" t="n">
        <v>1</v>
      </c>
      <c r="K4" s="9" t="n">
        <v>1</v>
      </c>
      <c r="L4" s="9" t="n">
        <v>1</v>
      </c>
      <c r="M4" s="9" t="n">
        <v>0</v>
      </c>
      <c r="N4" s="9" t="n">
        <v>0</v>
      </c>
      <c r="O4" s="9" t="n">
        <v>0</v>
      </c>
      <c r="P4" s="9" t="n">
        <v>0</v>
      </c>
      <c r="Q4" s="9" t="n">
        <v>152.94</v>
      </c>
      <c r="R4" s="9" t="s">
        <v>75</v>
      </c>
      <c r="S4" s="9" t="s">
        <v>75</v>
      </c>
      <c r="T4" s="9" t="n">
        <v>22.8834</v>
      </c>
      <c r="U4" s="9" t="n">
        <v>19.8167</v>
      </c>
      <c r="V4" s="9" t="n">
        <v>1336</v>
      </c>
      <c r="W4" s="9" t="n">
        <v>661</v>
      </c>
      <c r="X4" s="9" t="s">
        <v>75</v>
      </c>
      <c r="Y4" s="9" t="s">
        <v>75</v>
      </c>
      <c r="Z4" s="9" t="s">
        <v>75</v>
      </c>
      <c r="AA4" s="9" t="n">
        <v>9.6242</v>
      </c>
      <c r="AB4" s="9" t="s">
        <v>75</v>
      </c>
      <c r="AC4" s="9" t="s">
        <v>75</v>
      </c>
      <c r="AD4" s="9" t="s">
        <v>75</v>
      </c>
      <c r="AE4" s="9" t="s">
        <v>75</v>
      </c>
      <c r="AF4" s="9" t="s">
        <v>75</v>
      </c>
      <c r="AG4" s="9" t="s">
        <v>75</v>
      </c>
      <c r="AH4" s="9" t="s">
        <v>75</v>
      </c>
      <c r="AI4" s="9" t="s">
        <v>75</v>
      </c>
      <c r="AJ4" s="9" t="s">
        <v>75</v>
      </c>
      <c r="AK4" s="9" t="s">
        <v>75</v>
      </c>
      <c r="AL4" s="9" t="s">
        <v>75</v>
      </c>
      <c r="AM4" s="9" t="s">
        <v>75</v>
      </c>
      <c r="AN4" s="9" t="n">
        <v>9.6121</v>
      </c>
      <c r="AO4" s="9" t="s">
        <v>75</v>
      </c>
      <c r="AP4" s="9" t="s">
        <v>75</v>
      </c>
      <c r="AQ4" s="9" t="n">
        <v>4.88137</v>
      </c>
      <c r="AR4" s="9" t="s">
        <v>75</v>
      </c>
      <c r="AS4" s="9" t="s">
        <v>75</v>
      </c>
      <c r="AT4" s="9" t="n">
        <v>0.0102496</v>
      </c>
      <c r="AU4" s="9" t="s">
        <v>75</v>
      </c>
      <c r="AV4" s="9" t="s">
        <v>75</v>
      </c>
      <c r="AW4" s="9" t="n">
        <v>157.832</v>
      </c>
      <c r="AX4" s="9" t="s">
        <v>75</v>
      </c>
      <c r="AY4" s="9" t="s">
        <v>75</v>
      </c>
    </row>
    <row r="5" customFormat="false" ht="15" hidden="false" customHeight="false" outlineLevel="0" collapsed="false">
      <c r="A5" s="9" t="s">
        <v>73</v>
      </c>
      <c r="B5" s="9" t="s">
        <v>74</v>
      </c>
      <c r="C5" s="9" t="n">
        <v>13</v>
      </c>
      <c r="D5" s="9" t="n">
        <v>1</v>
      </c>
      <c r="E5" s="9" t="n">
        <v>0</v>
      </c>
      <c r="F5" s="9" t="n">
        <v>0</v>
      </c>
      <c r="G5" s="9" t="n">
        <v>1</v>
      </c>
      <c r="H5" s="9" t="n">
        <v>1</v>
      </c>
      <c r="I5" s="9" t="n">
        <v>1</v>
      </c>
      <c r="J5" s="9" t="n">
        <v>1</v>
      </c>
      <c r="K5" s="9" t="n">
        <v>1</v>
      </c>
      <c r="L5" s="9" t="n">
        <v>1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152.733</v>
      </c>
      <c r="R5" s="9" t="s">
        <v>75</v>
      </c>
      <c r="S5" s="9" t="s">
        <v>75</v>
      </c>
      <c r="T5" s="9" t="n">
        <v>23.0952</v>
      </c>
      <c r="U5" s="9" t="n">
        <v>27.5931</v>
      </c>
      <c r="V5" s="9" t="n">
        <v>1336</v>
      </c>
      <c r="W5" s="9" t="n">
        <v>1027</v>
      </c>
      <c r="X5" s="9" t="s">
        <v>75</v>
      </c>
      <c r="Y5" s="9" t="s">
        <v>75</v>
      </c>
      <c r="Z5" s="9" t="s">
        <v>75</v>
      </c>
      <c r="AA5" s="9" t="n">
        <v>9.62273</v>
      </c>
      <c r="AB5" s="9" t="s">
        <v>75</v>
      </c>
      <c r="AC5" s="9" t="s">
        <v>75</v>
      </c>
      <c r="AD5" s="9" t="s">
        <v>75</v>
      </c>
      <c r="AE5" s="9" t="s">
        <v>75</v>
      </c>
      <c r="AF5" s="9" t="s">
        <v>75</v>
      </c>
      <c r="AG5" s="9" t="s">
        <v>75</v>
      </c>
      <c r="AH5" s="9" t="s">
        <v>75</v>
      </c>
      <c r="AI5" s="9" t="s">
        <v>75</v>
      </c>
      <c r="AJ5" s="9" t="s">
        <v>75</v>
      </c>
      <c r="AK5" s="9" t="s">
        <v>75</v>
      </c>
      <c r="AL5" s="9" t="s">
        <v>75</v>
      </c>
      <c r="AM5" s="9" t="s">
        <v>75</v>
      </c>
      <c r="AN5" s="9" t="n">
        <v>9.61041</v>
      </c>
      <c r="AO5" s="9" t="s">
        <v>75</v>
      </c>
      <c r="AP5" s="9" t="s">
        <v>75</v>
      </c>
      <c r="AQ5" s="9" t="n">
        <v>5.05993</v>
      </c>
      <c r="AR5" s="9" t="s">
        <v>75</v>
      </c>
      <c r="AS5" s="9" t="s">
        <v>75</v>
      </c>
      <c r="AT5" s="9" t="n">
        <v>0.010345</v>
      </c>
      <c r="AU5" s="9" t="s">
        <v>75</v>
      </c>
      <c r="AV5" s="9" t="s">
        <v>75</v>
      </c>
      <c r="AW5" s="9" t="n">
        <v>157.803</v>
      </c>
      <c r="AX5" s="9" t="s">
        <v>75</v>
      </c>
      <c r="AY5" s="9" t="s">
        <v>75</v>
      </c>
    </row>
    <row r="6" customFormat="false" ht="15" hidden="false" customHeight="false" outlineLevel="0" collapsed="false">
      <c r="A6" s="9" t="s">
        <v>73</v>
      </c>
      <c r="B6" s="9" t="s">
        <v>74</v>
      </c>
      <c r="C6" s="9" t="n">
        <v>14</v>
      </c>
      <c r="D6" s="9" t="n">
        <v>1</v>
      </c>
      <c r="E6" s="9" t="n">
        <v>0</v>
      </c>
      <c r="F6" s="9" t="n">
        <v>0</v>
      </c>
      <c r="G6" s="9" t="n">
        <v>1</v>
      </c>
      <c r="H6" s="9" t="n">
        <v>1</v>
      </c>
      <c r="I6" s="9" t="n">
        <v>1</v>
      </c>
      <c r="J6" s="9" t="n">
        <v>1</v>
      </c>
      <c r="K6" s="9" t="n">
        <v>1</v>
      </c>
      <c r="L6" s="9" t="n">
        <v>1</v>
      </c>
      <c r="M6" s="9" t="n">
        <v>0</v>
      </c>
      <c r="N6" s="9" t="n">
        <v>0</v>
      </c>
      <c r="O6" s="9" t="n">
        <v>0</v>
      </c>
      <c r="P6" s="9" t="n">
        <v>0</v>
      </c>
      <c r="Q6" s="9" t="n">
        <v>152.514</v>
      </c>
      <c r="R6" s="9" t="s">
        <v>75</v>
      </c>
      <c r="S6" s="9" t="s">
        <v>75</v>
      </c>
      <c r="T6" s="9" t="n">
        <v>24.1027</v>
      </c>
      <c r="U6" s="9" t="n">
        <v>26.8478</v>
      </c>
      <c r="V6" s="9" t="n">
        <v>1336</v>
      </c>
      <c r="W6" s="9" t="n">
        <v>713</v>
      </c>
      <c r="X6" s="9" t="s">
        <v>75</v>
      </c>
      <c r="Y6" s="9" t="s">
        <v>75</v>
      </c>
      <c r="Z6" s="9" t="s">
        <v>75</v>
      </c>
      <c r="AA6" s="9" t="n">
        <v>9.62203</v>
      </c>
      <c r="AB6" s="9" t="s">
        <v>75</v>
      </c>
      <c r="AC6" s="9" t="s">
        <v>75</v>
      </c>
      <c r="AD6" s="9" t="s">
        <v>75</v>
      </c>
      <c r="AE6" s="9" t="s">
        <v>75</v>
      </c>
      <c r="AF6" s="9" t="s">
        <v>75</v>
      </c>
      <c r="AG6" s="9" t="s">
        <v>75</v>
      </c>
      <c r="AH6" s="9" t="s">
        <v>75</v>
      </c>
      <c r="AI6" s="9" t="s">
        <v>75</v>
      </c>
      <c r="AJ6" s="9" t="s">
        <v>75</v>
      </c>
      <c r="AK6" s="9" t="s">
        <v>75</v>
      </c>
      <c r="AL6" s="9" t="s">
        <v>75</v>
      </c>
      <c r="AM6" s="9" t="s">
        <v>75</v>
      </c>
      <c r="AN6" s="9" t="n">
        <v>9.60961</v>
      </c>
      <c r="AO6" s="9" t="s">
        <v>75</v>
      </c>
      <c r="AP6" s="9" t="s">
        <v>75</v>
      </c>
      <c r="AQ6" s="9" t="n">
        <v>5.23634</v>
      </c>
      <c r="AR6" s="9" t="s">
        <v>75</v>
      </c>
      <c r="AS6" s="9" t="s">
        <v>75</v>
      </c>
      <c r="AT6" s="9" t="n">
        <v>0.0100743</v>
      </c>
      <c r="AU6" s="9" t="s">
        <v>75</v>
      </c>
      <c r="AV6" s="9" t="s">
        <v>75</v>
      </c>
      <c r="AW6" s="9" t="n">
        <v>157.76</v>
      </c>
      <c r="AX6" s="9" t="s">
        <v>75</v>
      </c>
      <c r="AY6" s="9" t="s">
        <v>75</v>
      </c>
    </row>
    <row r="7" customFormat="false" ht="15" hidden="false" customHeight="false" outlineLevel="0" collapsed="false">
      <c r="A7" s="9" t="s">
        <v>73</v>
      </c>
      <c r="B7" s="9" t="s">
        <v>74</v>
      </c>
      <c r="C7" s="9" t="n">
        <v>15</v>
      </c>
      <c r="D7" s="9" t="n">
        <v>1</v>
      </c>
      <c r="E7" s="9" t="n">
        <v>0</v>
      </c>
      <c r="F7" s="9" t="n">
        <v>0</v>
      </c>
      <c r="G7" s="9" t="n">
        <v>1</v>
      </c>
      <c r="H7" s="9" t="n">
        <v>1</v>
      </c>
      <c r="I7" s="9" t="n">
        <v>1</v>
      </c>
      <c r="J7" s="9" t="n">
        <v>1</v>
      </c>
      <c r="K7" s="9" t="n">
        <v>1</v>
      </c>
      <c r="L7" s="9" t="n">
        <v>1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152.781</v>
      </c>
      <c r="R7" s="9" t="s">
        <v>75</v>
      </c>
      <c r="S7" s="9" t="s">
        <v>75</v>
      </c>
      <c r="T7" s="9" t="n">
        <v>23.4956</v>
      </c>
      <c r="U7" s="9" t="n">
        <v>27.2831</v>
      </c>
      <c r="V7" s="9" t="n">
        <v>1336</v>
      </c>
      <c r="W7" s="9" t="n">
        <v>694</v>
      </c>
      <c r="X7" s="9" t="s">
        <v>75</v>
      </c>
      <c r="Y7" s="9" t="s">
        <v>75</v>
      </c>
      <c r="Z7" s="9" t="s">
        <v>75</v>
      </c>
      <c r="AA7" s="9" t="n">
        <v>9.62306</v>
      </c>
      <c r="AB7" s="9" t="s">
        <v>75</v>
      </c>
      <c r="AC7" s="9" t="s">
        <v>75</v>
      </c>
      <c r="AD7" s="9" t="s">
        <v>75</v>
      </c>
      <c r="AE7" s="9" t="s">
        <v>75</v>
      </c>
      <c r="AF7" s="9" t="s">
        <v>75</v>
      </c>
      <c r="AG7" s="9" t="s">
        <v>75</v>
      </c>
      <c r="AH7" s="9" t="s">
        <v>75</v>
      </c>
      <c r="AI7" s="9" t="s">
        <v>75</v>
      </c>
      <c r="AJ7" s="9" t="s">
        <v>75</v>
      </c>
      <c r="AK7" s="9" t="s">
        <v>75</v>
      </c>
      <c r="AL7" s="9" t="s">
        <v>75</v>
      </c>
      <c r="AM7" s="9" t="s">
        <v>75</v>
      </c>
      <c r="AN7" s="9" t="n">
        <v>9.6109</v>
      </c>
      <c r="AO7" s="9" t="s">
        <v>75</v>
      </c>
      <c r="AP7" s="9" t="s">
        <v>75</v>
      </c>
      <c r="AQ7" s="9" t="n">
        <v>5.02521</v>
      </c>
      <c r="AR7" s="9" t="s">
        <v>75</v>
      </c>
      <c r="AS7" s="9" t="s">
        <v>75</v>
      </c>
      <c r="AT7" s="9" t="n">
        <v>0.0102314</v>
      </c>
      <c r="AU7" s="9" t="s">
        <v>75</v>
      </c>
      <c r="AV7" s="9" t="s">
        <v>75</v>
      </c>
      <c r="AW7" s="9" t="n">
        <v>157.816</v>
      </c>
      <c r="AX7" s="9" t="s">
        <v>75</v>
      </c>
      <c r="AY7" s="9" t="s">
        <v>75</v>
      </c>
    </row>
    <row r="8" customFormat="false" ht="15" hidden="false" customHeight="false" outlineLevel="0" collapsed="false">
      <c r="A8" s="9" t="s">
        <v>73</v>
      </c>
      <c r="B8" s="9" t="s">
        <v>74</v>
      </c>
      <c r="C8" s="9" t="n">
        <v>16</v>
      </c>
      <c r="D8" s="9" t="n">
        <v>1</v>
      </c>
      <c r="E8" s="9" t="n">
        <v>0</v>
      </c>
      <c r="F8" s="9" t="n">
        <v>0</v>
      </c>
      <c r="G8" s="9" t="n">
        <v>1</v>
      </c>
      <c r="H8" s="9" t="n">
        <v>1</v>
      </c>
      <c r="I8" s="9" t="n">
        <v>1</v>
      </c>
      <c r="J8" s="9" t="n">
        <v>1</v>
      </c>
      <c r="K8" s="9" t="n">
        <v>1</v>
      </c>
      <c r="L8" s="9" t="n">
        <v>1</v>
      </c>
      <c r="M8" s="9" t="n">
        <v>0</v>
      </c>
      <c r="N8" s="9" t="n">
        <v>0</v>
      </c>
      <c r="O8" s="9" t="n">
        <v>0</v>
      </c>
      <c r="P8" s="9" t="n">
        <v>0</v>
      </c>
      <c r="Q8" s="9" t="n">
        <v>152.546</v>
      </c>
      <c r="R8" s="9" t="s">
        <v>75</v>
      </c>
      <c r="S8" s="9" t="s">
        <v>75</v>
      </c>
      <c r="T8" s="9" t="n">
        <v>23.6158</v>
      </c>
      <c r="U8" s="9" t="n">
        <v>26.6239</v>
      </c>
      <c r="V8" s="9" t="n">
        <v>1335</v>
      </c>
      <c r="W8" s="9" t="n">
        <v>652</v>
      </c>
      <c r="X8" s="9" t="s">
        <v>75</v>
      </c>
      <c r="Y8" s="9" t="s">
        <v>75</v>
      </c>
      <c r="Z8" s="9" t="s">
        <v>75</v>
      </c>
      <c r="AA8" s="9" t="n">
        <v>9.61848</v>
      </c>
      <c r="AB8" s="9" t="s">
        <v>75</v>
      </c>
      <c r="AC8" s="9" t="s">
        <v>75</v>
      </c>
      <c r="AD8" s="9" t="s">
        <v>75</v>
      </c>
      <c r="AE8" s="9" t="s">
        <v>75</v>
      </c>
      <c r="AF8" s="9" t="s">
        <v>75</v>
      </c>
      <c r="AG8" s="9" t="s">
        <v>75</v>
      </c>
      <c r="AH8" s="9" t="s">
        <v>75</v>
      </c>
      <c r="AI8" s="9" t="s">
        <v>75</v>
      </c>
      <c r="AJ8" s="9" t="s">
        <v>75</v>
      </c>
      <c r="AK8" s="9" t="s">
        <v>75</v>
      </c>
      <c r="AL8" s="9" t="s">
        <v>75</v>
      </c>
      <c r="AM8" s="9" t="s">
        <v>75</v>
      </c>
      <c r="AN8" s="9" t="n">
        <v>9.60631</v>
      </c>
      <c r="AO8" s="9" t="s">
        <v>75</v>
      </c>
      <c r="AP8" s="9" t="s">
        <v>75</v>
      </c>
      <c r="AQ8" s="9" t="n">
        <v>5.07139</v>
      </c>
      <c r="AR8" s="9" t="s">
        <v>75</v>
      </c>
      <c r="AS8" s="9" t="s">
        <v>75</v>
      </c>
      <c r="AT8" s="9" t="n">
        <v>0.0111137</v>
      </c>
      <c r="AU8" s="9" t="s">
        <v>75</v>
      </c>
      <c r="AV8" s="9" t="s">
        <v>75</v>
      </c>
      <c r="AW8" s="9" t="n">
        <v>157.628</v>
      </c>
      <c r="AX8" s="9" t="s">
        <v>75</v>
      </c>
      <c r="AY8" s="9" t="s">
        <v>75</v>
      </c>
    </row>
    <row r="9" customFormat="false" ht="15" hidden="false" customHeight="false" outlineLevel="0" collapsed="false">
      <c r="A9" s="9" t="s">
        <v>73</v>
      </c>
      <c r="B9" s="9" t="s">
        <v>74</v>
      </c>
      <c r="C9" s="9" t="n">
        <v>17</v>
      </c>
      <c r="D9" s="9" t="n">
        <v>1</v>
      </c>
      <c r="E9" s="9" t="n">
        <v>0</v>
      </c>
      <c r="F9" s="9" t="n">
        <v>0</v>
      </c>
      <c r="G9" s="9" t="n">
        <v>1</v>
      </c>
      <c r="H9" s="9" t="n">
        <v>1</v>
      </c>
      <c r="I9" s="9" t="n">
        <v>1</v>
      </c>
      <c r="J9" s="9" t="n">
        <v>1</v>
      </c>
      <c r="K9" s="9" t="n">
        <v>1</v>
      </c>
      <c r="L9" s="9" t="n">
        <v>1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152.944</v>
      </c>
      <c r="R9" s="9" t="s">
        <v>75</v>
      </c>
      <c r="S9" s="9" t="s">
        <v>75</v>
      </c>
      <c r="T9" s="9" t="n">
        <v>21.8965</v>
      </c>
      <c r="U9" s="9" t="n">
        <v>26.8381</v>
      </c>
      <c r="V9" s="9" t="n">
        <v>1337</v>
      </c>
      <c r="W9" s="9" t="n">
        <v>564</v>
      </c>
      <c r="X9" s="9" t="s">
        <v>75</v>
      </c>
      <c r="Y9" s="9" t="s">
        <v>75</v>
      </c>
      <c r="Z9" s="9" t="s">
        <v>75</v>
      </c>
      <c r="AA9" s="9" t="n">
        <v>9.6192</v>
      </c>
      <c r="AB9" s="9" t="s">
        <v>75</v>
      </c>
      <c r="AC9" s="9" t="s">
        <v>75</v>
      </c>
      <c r="AD9" s="9" t="s">
        <v>75</v>
      </c>
      <c r="AE9" s="9" t="s">
        <v>75</v>
      </c>
      <c r="AF9" s="9" t="s">
        <v>75</v>
      </c>
      <c r="AG9" s="9" t="s">
        <v>75</v>
      </c>
      <c r="AH9" s="9" t="s">
        <v>75</v>
      </c>
      <c r="AI9" s="9" t="s">
        <v>75</v>
      </c>
      <c r="AJ9" s="9" t="s">
        <v>75</v>
      </c>
      <c r="AK9" s="9" t="s">
        <v>75</v>
      </c>
      <c r="AL9" s="9" t="s">
        <v>75</v>
      </c>
      <c r="AM9" s="9" t="s">
        <v>75</v>
      </c>
      <c r="AN9" s="9" t="n">
        <v>9.60685</v>
      </c>
      <c r="AO9" s="9" t="s">
        <v>75</v>
      </c>
      <c r="AP9" s="9" t="s">
        <v>75</v>
      </c>
      <c r="AQ9" s="9" t="n">
        <v>4.73774</v>
      </c>
      <c r="AR9" s="9" t="s">
        <v>75</v>
      </c>
      <c r="AS9" s="9" t="s">
        <v>75</v>
      </c>
      <c r="AT9" s="9" t="n">
        <v>0.00975257</v>
      </c>
      <c r="AU9" s="9" t="s">
        <v>75</v>
      </c>
      <c r="AV9" s="9" t="s">
        <v>75</v>
      </c>
      <c r="AW9" s="9" t="n">
        <v>157.692</v>
      </c>
      <c r="AX9" s="9" t="s">
        <v>75</v>
      </c>
      <c r="AY9" s="9" t="s">
        <v>75</v>
      </c>
    </row>
    <row r="10" customFormat="false" ht="15" hidden="false" customHeight="false" outlineLevel="0" collapsed="false">
      <c r="A10" s="9" t="s">
        <v>73</v>
      </c>
      <c r="B10" s="9" t="s">
        <v>74</v>
      </c>
      <c r="C10" s="9" t="n">
        <v>18</v>
      </c>
      <c r="D10" s="9" t="n">
        <v>1</v>
      </c>
      <c r="E10" s="9" t="n">
        <v>0</v>
      </c>
      <c r="F10" s="9" t="n">
        <v>0</v>
      </c>
      <c r="G10" s="9" t="n">
        <v>1</v>
      </c>
      <c r="H10" s="9" t="n">
        <v>1</v>
      </c>
      <c r="I10" s="9" t="n">
        <v>1</v>
      </c>
      <c r="J10" s="9" t="n">
        <v>1</v>
      </c>
      <c r="K10" s="9" t="n">
        <v>1</v>
      </c>
      <c r="L10" s="9" t="n">
        <v>1</v>
      </c>
      <c r="M10" s="9" t="n">
        <v>0</v>
      </c>
      <c r="N10" s="9" t="n">
        <v>0</v>
      </c>
      <c r="O10" s="9" t="n">
        <v>0</v>
      </c>
      <c r="P10" s="9" t="n">
        <v>0</v>
      </c>
      <c r="Q10" s="9" t="n">
        <v>152.761</v>
      </c>
      <c r="R10" s="9" t="s">
        <v>75</v>
      </c>
      <c r="S10" s="9" t="s">
        <v>75</v>
      </c>
      <c r="T10" s="9" t="n">
        <v>22.3833</v>
      </c>
      <c r="U10" s="9" t="n">
        <v>26.4932</v>
      </c>
      <c r="V10" s="9" t="n">
        <v>1334</v>
      </c>
      <c r="W10" s="9" t="n">
        <v>593</v>
      </c>
      <c r="X10" s="9" t="s">
        <v>75</v>
      </c>
      <c r="Y10" s="9" t="s">
        <v>75</v>
      </c>
      <c r="Z10" s="9" t="s">
        <v>75</v>
      </c>
      <c r="AA10" s="9" t="n">
        <v>9.62177</v>
      </c>
      <c r="AB10" s="9" t="s">
        <v>75</v>
      </c>
      <c r="AC10" s="9" t="s">
        <v>75</v>
      </c>
      <c r="AD10" s="9" t="s">
        <v>75</v>
      </c>
      <c r="AE10" s="9" t="s">
        <v>75</v>
      </c>
      <c r="AF10" s="9" t="s">
        <v>75</v>
      </c>
      <c r="AG10" s="9" t="s">
        <v>75</v>
      </c>
      <c r="AH10" s="9" t="s">
        <v>75</v>
      </c>
      <c r="AI10" s="9" t="s">
        <v>75</v>
      </c>
      <c r="AJ10" s="9" t="s">
        <v>75</v>
      </c>
      <c r="AK10" s="9" t="s">
        <v>75</v>
      </c>
      <c r="AL10" s="9" t="s">
        <v>75</v>
      </c>
      <c r="AM10" s="9" t="s">
        <v>75</v>
      </c>
      <c r="AN10" s="9" t="n">
        <v>9.60936</v>
      </c>
      <c r="AO10" s="9" t="s">
        <v>75</v>
      </c>
      <c r="AP10" s="9" t="s">
        <v>75</v>
      </c>
      <c r="AQ10" s="9" t="n">
        <v>4.86762</v>
      </c>
      <c r="AR10" s="9" t="s">
        <v>75</v>
      </c>
      <c r="AS10" s="9" t="s">
        <v>75</v>
      </c>
      <c r="AT10" s="9" t="n">
        <v>0.0107095</v>
      </c>
      <c r="AU10" s="9" t="s">
        <v>75</v>
      </c>
      <c r="AV10" s="9" t="s">
        <v>75</v>
      </c>
      <c r="AW10" s="9" t="n">
        <v>157.639</v>
      </c>
      <c r="AX10" s="9" t="s">
        <v>75</v>
      </c>
      <c r="AY10" s="9" t="s">
        <v>75</v>
      </c>
    </row>
    <row r="11" customFormat="false" ht="15" hidden="false" customHeight="false" outlineLevel="0" collapsed="false">
      <c r="A11" s="9" t="s">
        <v>73</v>
      </c>
      <c r="B11" s="9" t="s">
        <v>74</v>
      </c>
      <c r="C11" s="9" t="n">
        <v>19</v>
      </c>
      <c r="D11" s="9" t="n">
        <v>1</v>
      </c>
      <c r="E11" s="9" t="n">
        <v>0</v>
      </c>
      <c r="F11" s="9" t="n">
        <v>0</v>
      </c>
      <c r="G11" s="9" t="n">
        <v>1</v>
      </c>
      <c r="H11" s="9" t="n">
        <v>1</v>
      </c>
      <c r="I11" s="9" t="n">
        <v>1</v>
      </c>
      <c r="J11" s="9" t="n">
        <v>1</v>
      </c>
      <c r="K11" s="9" t="n">
        <v>1</v>
      </c>
      <c r="L11" s="9" t="n">
        <v>1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152.759</v>
      </c>
      <c r="R11" s="9" t="s">
        <v>75</v>
      </c>
      <c r="S11" s="9" t="s">
        <v>75</v>
      </c>
      <c r="T11" s="9" t="n">
        <v>23.1031</v>
      </c>
      <c r="U11" s="9" t="n">
        <v>26.9634</v>
      </c>
      <c r="V11" s="9" t="n">
        <v>1337</v>
      </c>
      <c r="W11" s="9" t="n">
        <v>622</v>
      </c>
      <c r="X11" s="9" t="s">
        <v>75</v>
      </c>
      <c r="Y11" s="9" t="s">
        <v>75</v>
      </c>
      <c r="Z11" s="9" t="s">
        <v>75</v>
      </c>
      <c r="AA11" s="9" t="n">
        <v>9.62059</v>
      </c>
      <c r="AB11" s="9" t="s">
        <v>75</v>
      </c>
      <c r="AC11" s="9" t="s">
        <v>75</v>
      </c>
      <c r="AD11" s="9" t="s">
        <v>75</v>
      </c>
      <c r="AE11" s="9" t="s">
        <v>75</v>
      </c>
      <c r="AF11" s="9" t="s">
        <v>75</v>
      </c>
      <c r="AG11" s="9" t="s">
        <v>75</v>
      </c>
      <c r="AH11" s="9" t="s">
        <v>75</v>
      </c>
      <c r="AI11" s="9" t="s">
        <v>75</v>
      </c>
      <c r="AJ11" s="9" t="s">
        <v>75</v>
      </c>
      <c r="AK11" s="9" t="s">
        <v>75</v>
      </c>
      <c r="AL11" s="9" t="s">
        <v>75</v>
      </c>
      <c r="AM11" s="9" t="s">
        <v>75</v>
      </c>
      <c r="AN11" s="9" t="n">
        <v>9.60848</v>
      </c>
      <c r="AO11" s="9" t="s">
        <v>75</v>
      </c>
      <c r="AP11" s="9" t="s">
        <v>75</v>
      </c>
      <c r="AQ11" s="9" t="n">
        <v>4.96819</v>
      </c>
      <c r="AR11" s="9" t="s">
        <v>75</v>
      </c>
      <c r="AS11" s="9" t="s">
        <v>75</v>
      </c>
      <c r="AT11" s="9" t="n">
        <v>0.0100511</v>
      </c>
      <c r="AU11" s="9" t="s">
        <v>75</v>
      </c>
      <c r="AV11" s="9" t="s">
        <v>75</v>
      </c>
      <c r="AW11" s="9" t="n">
        <v>157.737</v>
      </c>
      <c r="AX11" s="9" t="s">
        <v>75</v>
      </c>
      <c r="AY11" s="9" t="s">
        <v>75</v>
      </c>
    </row>
    <row r="12" customFormat="false" ht="15" hidden="false" customHeight="false" outlineLevel="0" collapsed="false">
      <c r="A12" s="9" t="s">
        <v>73</v>
      </c>
      <c r="B12" s="9" t="s">
        <v>74</v>
      </c>
      <c r="C12" s="9" t="n">
        <v>20</v>
      </c>
      <c r="D12" s="9" t="n">
        <v>1</v>
      </c>
      <c r="E12" s="9" t="n">
        <v>0</v>
      </c>
      <c r="F12" s="9" t="n">
        <v>0</v>
      </c>
      <c r="G12" s="9" t="n">
        <v>1</v>
      </c>
      <c r="H12" s="9" t="n">
        <v>1</v>
      </c>
      <c r="I12" s="9" t="n">
        <v>1</v>
      </c>
      <c r="J12" s="9" t="n">
        <v>1</v>
      </c>
      <c r="K12" s="9" t="n">
        <v>1</v>
      </c>
      <c r="L12" s="9" t="n">
        <v>1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152.911</v>
      </c>
      <c r="R12" s="9" t="s">
        <v>75</v>
      </c>
      <c r="S12" s="9" t="s">
        <v>75</v>
      </c>
      <c r="T12" s="9" t="n">
        <v>22.6187</v>
      </c>
      <c r="U12" s="9" t="n">
        <v>26.9929</v>
      </c>
      <c r="V12" s="9" t="n">
        <v>1336</v>
      </c>
      <c r="W12" s="9" t="n">
        <v>931</v>
      </c>
      <c r="X12" s="9" t="s">
        <v>75</v>
      </c>
      <c r="Y12" s="9" t="s">
        <v>75</v>
      </c>
      <c r="Z12" s="9" t="s">
        <v>75</v>
      </c>
      <c r="AA12" s="9" t="n">
        <v>9.62139</v>
      </c>
      <c r="AB12" s="9" t="s">
        <v>75</v>
      </c>
      <c r="AC12" s="9" t="s">
        <v>75</v>
      </c>
      <c r="AD12" s="9" t="s">
        <v>75</v>
      </c>
      <c r="AE12" s="9" t="s">
        <v>75</v>
      </c>
      <c r="AF12" s="9" t="s">
        <v>75</v>
      </c>
      <c r="AG12" s="9" t="s">
        <v>75</v>
      </c>
      <c r="AH12" s="9" t="s">
        <v>75</v>
      </c>
      <c r="AI12" s="9" t="s">
        <v>75</v>
      </c>
      <c r="AJ12" s="9" t="s">
        <v>75</v>
      </c>
      <c r="AK12" s="9" t="s">
        <v>75</v>
      </c>
      <c r="AL12" s="9" t="s">
        <v>75</v>
      </c>
      <c r="AM12" s="9" t="s">
        <v>75</v>
      </c>
      <c r="AN12" s="9" t="n">
        <v>9.60917</v>
      </c>
      <c r="AO12" s="9" t="s">
        <v>75</v>
      </c>
      <c r="AP12" s="9" t="s">
        <v>75</v>
      </c>
      <c r="AQ12" s="9" t="n">
        <v>4.83961</v>
      </c>
      <c r="AR12" s="9" t="s">
        <v>75</v>
      </c>
      <c r="AS12" s="9" t="s">
        <v>75</v>
      </c>
      <c r="AT12" s="9" t="n">
        <v>0.010004</v>
      </c>
      <c r="AU12" s="9" t="s">
        <v>75</v>
      </c>
      <c r="AV12" s="9" t="s">
        <v>75</v>
      </c>
      <c r="AW12" s="9" t="n">
        <v>157.761</v>
      </c>
      <c r="AX12" s="9" t="s">
        <v>75</v>
      </c>
      <c r="AY12" s="9" t="s">
        <v>75</v>
      </c>
    </row>
    <row r="13" customFormat="false" ht="15" hidden="false" customHeight="false" outlineLevel="0" collapsed="false">
      <c r="A13" s="9" t="s">
        <v>73</v>
      </c>
      <c r="B13" s="9" t="s">
        <v>74</v>
      </c>
      <c r="C13" s="9" t="n">
        <v>21</v>
      </c>
      <c r="D13" s="9" t="n">
        <v>1</v>
      </c>
      <c r="E13" s="9" t="n">
        <v>0</v>
      </c>
      <c r="F13" s="9" t="n">
        <v>0</v>
      </c>
      <c r="G13" s="9" t="n">
        <v>1</v>
      </c>
      <c r="H13" s="9" t="n">
        <v>1</v>
      </c>
      <c r="I13" s="9" t="n">
        <v>1</v>
      </c>
      <c r="J13" s="9" t="n">
        <v>1</v>
      </c>
      <c r="K13" s="9" t="n">
        <v>1</v>
      </c>
      <c r="L13" s="9" t="n">
        <v>1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152.686</v>
      </c>
      <c r="R13" s="9" t="s">
        <v>75</v>
      </c>
      <c r="S13" s="9" t="s">
        <v>75</v>
      </c>
      <c r="T13" s="9" t="n">
        <v>23.5063</v>
      </c>
      <c r="U13" s="9" t="n">
        <v>26.7992</v>
      </c>
      <c r="V13" s="9" t="n">
        <v>1336</v>
      </c>
      <c r="W13" s="9" t="n">
        <v>633</v>
      </c>
      <c r="X13" s="9" t="s">
        <v>75</v>
      </c>
      <c r="Y13" s="9" t="s">
        <v>75</v>
      </c>
      <c r="Z13" s="9" t="s">
        <v>75</v>
      </c>
      <c r="AA13" s="9" t="n">
        <v>9.62097</v>
      </c>
      <c r="AB13" s="9" t="s">
        <v>75</v>
      </c>
      <c r="AC13" s="9" t="s">
        <v>75</v>
      </c>
      <c r="AD13" s="9" t="s">
        <v>75</v>
      </c>
      <c r="AE13" s="9" t="s">
        <v>75</v>
      </c>
      <c r="AF13" s="9" t="s">
        <v>75</v>
      </c>
      <c r="AG13" s="9" t="s">
        <v>75</v>
      </c>
      <c r="AH13" s="9" t="s">
        <v>75</v>
      </c>
      <c r="AI13" s="9" t="s">
        <v>75</v>
      </c>
      <c r="AJ13" s="9" t="s">
        <v>75</v>
      </c>
      <c r="AK13" s="9" t="s">
        <v>75</v>
      </c>
      <c r="AL13" s="9" t="s">
        <v>75</v>
      </c>
      <c r="AM13" s="9" t="s">
        <v>75</v>
      </c>
      <c r="AN13" s="9" t="n">
        <v>9.60874</v>
      </c>
      <c r="AO13" s="9" t="s">
        <v>75</v>
      </c>
      <c r="AP13" s="9" t="s">
        <v>75</v>
      </c>
      <c r="AQ13" s="9" t="n">
        <v>5.05571</v>
      </c>
      <c r="AR13" s="9" t="s">
        <v>75</v>
      </c>
      <c r="AS13" s="9" t="s">
        <v>75</v>
      </c>
      <c r="AT13" s="9" t="n">
        <v>0.0100083</v>
      </c>
      <c r="AU13" s="9" t="s">
        <v>75</v>
      </c>
      <c r="AV13" s="9" t="s">
        <v>75</v>
      </c>
      <c r="AW13" s="9" t="n">
        <v>157.752</v>
      </c>
      <c r="AX13" s="9" t="s">
        <v>75</v>
      </c>
      <c r="AY13" s="9" t="s">
        <v>75</v>
      </c>
    </row>
    <row r="14" customFormat="false" ht="15" hidden="false" customHeight="false" outlineLevel="0" collapsed="false">
      <c r="A14" s="9" t="s">
        <v>73</v>
      </c>
      <c r="B14" s="9" t="s">
        <v>74</v>
      </c>
      <c r="C14" s="9" t="n">
        <v>22</v>
      </c>
      <c r="D14" s="9" t="n">
        <v>1</v>
      </c>
      <c r="E14" s="9" t="n">
        <v>0</v>
      </c>
      <c r="F14" s="9" t="n">
        <v>0</v>
      </c>
      <c r="G14" s="9" t="n">
        <v>1</v>
      </c>
      <c r="H14" s="9" t="n">
        <v>1</v>
      </c>
      <c r="I14" s="9" t="n">
        <v>1</v>
      </c>
      <c r="J14" s="9" t="n">
        <v>1</v>
      </c>
      <c r="K14" s="9" t="n">
        <v>1</v>
      </c>
      <c r="L14" s="9" t="n">
        <v>1</v>
      </c>
      <c r="M14" s="9" t="n">
        <v>0</v>
      </c>
      <c r="N14" s="9" t="n">
        <v>0</v>
      </c>
      <c r="O14" s="9" t="n">
        <v>0</v>
      </c>
      <c r="P14" s="9" t="n">
        <v>0</v>
      </c>
      <c r="Q14" s="9" t="n">
        <v>152.852</v>
      </c>
      <c r="R14" s="9" t="s">
        <v>75</v>
      </c>
      <c r="S14" s="9" t="s">
        <v>75</v>
      </c>
      <c r="T14" s="9" t="n">
        <v>22.8707</v>
      </c>
      <c r="U14" s="9" t="n">
        <v>26.7145</v>
      </c>
      <c r="V14" s="9" t="n">
        <v>1336</v>
      </c>
      <c r="W14" s="9" t="n">
        <v>674</v>
      </c>
      <c r="X14" s="9" t="s">
        <v>75</v>
      </c>
      <c r="Y14" s="9" t="s">
        <v>75</v>
      </c>
      <c r="Z14" s="9" t="s">
        <v>75</v>
      </c>
      <c r="AA14" s="9" t="n">
        <v>9.62735</v>
      </c>
      <c r="AB14" s="9" t="s">
        <v>75</v>
      </c>
      <c r="AC14" s="9" t="s">
        <v>75</v>
      </c>
      <c r="AD14" s="9" t="s">
        <v>75</v>
      </c>
      <c r="AE14" s="9" t="s">
        <v>75</v>
      </c>
      <c r="AF14" s="9" t="s">
        <v>75</v>
      </c>
      <c r="AG14" s="9" t="s">
        <v>75</v>
      </c>
      <c r="AH14" s="9" t="s">
        <v>75</v>
      </c>
      <c r="AI14" s="9" t="s">
        <v>75</v>
      </c>
      <c r="AJ14" s="9" t="s">
        <v>75</v>
      </c>
      <c r="AK14" s="9" t="s">
        <v>75</v>
      </c>
      <c r="AL14" s="9" t="s">
        <v>75</v>
      </c>
      <c r="AM14" s="9" t="s">
        <v>75</v>
      </c>
      <c r="AN14" s="9" t="n">
        <v>9.61521</v>
      </c>
      <c r="AO14" s="9" t="s">
        <v>75</v>
      </c>
      <c r="AP14" s="9" t="s">
        <v>75</v>
      </c>
      <c r="AQ14" s="9" t="n">
        <v>5.00817</v>
      </c>
      <c r="AR14" s="9" t="s">
        <v>75</v>
      </c>
      <c r="AS14" s="9" t="s">
        <v>75</v>
      </c>
      <c r="AT14" s="9" t="n">
        <v>0.00973552</v>
      </c>
      <c r="AU14" s="9" t="s">
        <v>75</v>
      </c>
      <c r="AV14" s="9" t="s">
        <v>75</v>
      </c>
      <c r="AW14" s="9" t="n">
        <v>157.87</v>
      </c>
      <c r="AX14" s="9" t="s">
        <v>75</v>
      </c>
      <c r="AY14" s="9" t="s">
        <v>75</v>
      </c>
    </row>
    <row r="15" customFormat="false" ht="15" hidden="false" customHeight="false" outlineLevel="0" collapsed="false">
      <c r="A15" s="9" t="s">
        <v>73</v>
      </c>
      <c r="B15" s="9" t="s">
        <v>74</v>
      </c>
      <c r="C15" s="9" t="n">
        <v>23</v>
      </c>
      <c r="D15" s="9" t="n">
        <v>1</v>
      </c>
      <c r="E15" s="9" t="n">
        <v>0</v>
      </c>
      <c r="F15" s="9" t="n">
        <v>0</v>
      </c>
      <c r="G15" s="9" t="n">
        <v>1</v>
      </c>
      <c r="H15" s="9" t="n">
        <v>1</v>
      </c>
      <c r="I15" s="9" t="n">
        <v>1</v>
      </c>
      <c r="J15" s="9" t="n">
        <v>1</v>
      </c>
      <c r="K15" s="9" t="n">
        <v>1</v>
      </c>
      <c r="L15" s="9" t="n">
        <v>1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152.885</v>
      </c>
      <c r="R15" s="9" t="s">
        <v>75</v>
      </c>
      <c r="S15" s="9" t="s">
        <v>75</v>
      </c>
      <c r="T15" s="9" t="n">
        <v>23.6787</v>
      </c>
      <c r="U15" s="9" t="n">
        <v>26.9531</v>
      </c>
      <c r="V15" s="9" t="n">
        <v>1337</v>
      </c>
      <c r="W15" s="9" t="n">
        <v>693</v>
      </c>
      <c r="X15" s="9" t="s">
        <v>75</v>
      </c>
      <c r="Y15" s="9" t="s">
        <v>75</v>
      </c>
      <c r="Z15" s="9" t="s">
        <v>75</v>
      </c>
      <c r="AA15" s="9" t="n">
        <v>9.62487</v>
      </c>
      <c r="AB15" s="9" t="s">
        <v>75</v>
      </c>
      <c r="AC15" s="9" t="s">
        <v>75</v>
      </c>
      <c r="AD15" s="9" t="s">
        <v>75</v>
      </c>
      <c r="AE15" s="9" t="s">
        <v>75</v>
      </c>
      <c r="AF15" s="9" t="s">
        <v>75</v>
      </c>
      <c r="AG15" s="9" t="s">
        <v>75</v>
      </c>
      <c r="AH15" s="9" t="s">
        <v>75</v>
      </c>
      <c r="AI15" s="9" t="s">
        <v>75</v>
      </c>
      <c r="AJ15" s="9" t="s">
        <v>75</v>
      </c>
      <c r="AK15" s="9" t="s">
        <v>75</v>
      </c>
      <c r="AL15" s="9" t="s">
        <v>75</v>
      </c>
      <c r="AM15" s="9" t="s">
        <v>75</v>
      </c>
      <c r="AN15" s="9" t="n">
        <v>9.61263</v>
      </c>
      <c r="AO15" s="9" t="s">
        <v>75</v>
      </c>
      <c r="AP15" s="9" t="s">
        <v>75</v>
      </c>
      <c r="AQ15" s="9" t="n">
        <v>4.93703</v>
      </c>
      <c r="AR15" s="9" t="s">
        <v>75</v>
      </c>
      <c r="AS15" s="9" t="s">
        <v>75</v>
      </c>
      <c r="AT15" s="9" t="n">
        <v>0.010107</v>
      </c>
      <c r="AU15" s="9" t="s">
        <v>75</v>
      </c>
      <c r="AV15" s="9" t="s">
        <v>75</v>
      </c>
      <c r="AW15" s="9" t="n">
        <v>157.832</v>
      </c>
      <c r="AX15" s="9" t="s">
        <v>75</v>
      </c>
      <c r="AY15" s="9" t="s">
        <v>75</v>
      </c>
    </row>
    <row r="16" customFormat="false" ht="15" hidden="false" customHeight="false" outlineLevel="0" collapsed="false">
      <c r="A16" s="9" t="s">
        <v>73</v>
      </c>
      <c r="B16" s="9" t="s">
        <v>74</v>
      </c>
      <c r="C16" s="9" t="n">
        <v>24</v>
      </c>
      <c r="D16" s="9" t="n">
        <v>1</v>
      </c>
      <c r="E16" s="9" t="n">
        <v>0</v>
      </c>
      <c r="F16" s="9" t="n">
        <v>0</v>
      </c>
      <c r="G16" s="9" t="n">
        <v>1</v>
      </c>
      <c r="H16" s="9" t="n">
        <v>1</v>
      </c>
      <c r="I16" s="9" t="n">
        <v>1</v>
      </c>
      <c r="J16" s="9" t="n">
        <v>1</v>
      </c>
      <c r="K16" s="9" t="n">
        <v>1</v>
      </c>
      <c r="L16" s="9" t="n">
        <v>1</v>
      </c>
      <c r="M16" s="9" t="n">
        <v>0</v>
      </c>
      <c r="N16" s="9" t="n">
        <v>0</v>
      </c>
      <c r="O16" s="9" t="n">
        <v>0</v>
      </c>
      <c r="P16" s="9" t="n">
        <v>0</v>
      </c>
      <c r="Q16" s="9" t="n">
        <v>152.601</v>
      </c>
      <c r="R16" s="9" t="s">
        <v>75</v>
      </c>
      <c r="S16" s="9" t="s">
        <v>75</v>
      </c>
      <c r="T16" s="9" t="n">
        <v>23.8782</v>
      </c>
      <c r="U16" s="9" t="n">
        <v>26.5772</v>
      </c>
      <c r="V16" s="9" t="n">
        <v>1337</v>
      </c>
      <c r="W16" s="9" t="n">
        <v>828</v>
      </c>
      <c r="X16" s="9" t="s">
        <v>75</v>
      </c>
      <c r="Y16" s="9" t="s">
        <v>75</v>
      </c>
      <c r="Z16" s="9" t="s">
        <v>75</v>
      </c>
      <c r="AA16" s="9" t="n">
        <v>9.62048</v>
      </c>
      <c r="AB16" s="9" t="s">
        <v>75</v>
      </c>
      <c r="AC16" s="9" t="s">
        <v>75</v>
      </c>
      <c r="AD16" s="9" t="s">
        <v>75</v>
      </c>
      <c r="AE16" s="9" t="s">
        <v>75</v>
      </c>
      <c r="AF16" s="9" t="s">
        <v>75</v>
      </c>
      <c r="AG16" s="9" t="s">
        <v>75</v>
      </c>
      <c r="AH16" s="9" t="s">
        <v>75</v>
      </c>
      <c r="AI16" s="9" t="s">
        <v>75</v>
      </c>
      <c r="AJ16" s="9" t="s">
        <v>75</v>
      </c>
      <c r="AK16" s="9" t="s">
        <v>75</v>
      </c>
      <c r="AL16" s="9" t="s">
        <v>75</v>
      </c>
      <c r="AM16" s="9" t="s">
        <v>75</v>
      </c>
      <c r="AN16" s="9" t="n">
        <v>9.60836</v>
      </c>
      <c r="AO16" s="9" t="s">
        <v>75</v>
      </c>
      <c r="AP16" s="9" t="s">
        <v>75</v>
      </c>
      <c r="AQ16" s="9" t="n">
        <v>5.11689</v>
      </c>
      <c r="AR16" s="9" t="s">
        <v>75</v>
      </c>
      <c r="AS16" s="9" t="s">
        <v>75</v>
      </c>
      <c r="AT16" s="9" t="n">
        <v>0.0108209</v>
      </c>
      <c r="AU16" s="9" t="s">
        <v>75</v>
      </c>
      <c r="AV16" s="9" t="s">
        <v>75</v>
      </c>
      <c r="AW16" s="9" t="n">
        <v>157.729</v>
      </c>
      <c r="AX16" s="9" t="s">
        <v>75</v>
      </c>
      <c r="AY16" s="9" t="s">
        <v>75</v>
      </c>
    </row>
    <row r="17" customFormat="false" ht="15" hidden="false" customHeight="false" outlineLevel="0" collapsed="false">
      <c r="A17" s="9" t="s">
        <v>73</v>
      </c>
      <c r="B17" s="9" t="s">
        <v>74</v>
      </c>
      <c r="C17" s="9" t="n">
        <v>31</v>
      </c>
      <c r="D17" s="9" t="n">
        <v>1</v>
      </c>
      <c r="E17" s="9" t="n">
        <v>0</v>
      </c>
      <c r="F17" s="9" t="n">
        <v>0</v>
      </c>
      <c r="G17" s="9" t="n">
        <v>1</v>
      </c>
      <c r="H17" s="9" t="n">
        <v>1</v>
      </c>
      <c r="I17" s="9" t="n">
        <v>1</v>
      </c>
      <c r="J17" s="9" t="n">
        <v>1</v>
      </c>
      <c r="K17" s="9" t="n">
        <v>1</v>
      </c>
      <c r="L17" s="9" t="n">
        <v>1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152.637</v>
      </c>
      <c r="R17" s="9" t="s">
        <v>75</v>
      </c>
      <c r="S17" s="9" t="s">
        <v>75</v>
      </c>
      <c r="T17" s="9" t="n">
        <v>23.1637</v>
      </c>
      <c r="U17" s="9" t="n">
        <v>27.3479</v>
      </c>
      <c r="V17" s="9" t="n">
        <v>1339</v>
      </c>
      <c r="W17" s="9" t="n">
        <v>687</v>
      </c>
      <c r="X17" s="9" t="n">
        <v>99.141</v>
      </c>
      <c r="Y17" s="9" t="n">
        <v>0.358</v>
      </c>
      <c r="Z17" s="9" t="n">
        <v>0.859</v>
      </c>
      <c r="AA17" s="9" t="n">
        <v>9.6293</v>
      </c>
      <c r="AB17" s="9" t="n">
        <v>69.378</v>
      </c>
      <c r="AC17" s="9" t="n">
        <v>110.12</v>
      </c>
      <c r="AD17" s="9" t="n">
        <v>117.061</v>
      </c>
      <c r="AE17" s="9" t="n">
        <v>24.001</v>
      </c>
      <c r="AF17" s="9" t="s">
        <v>75</v>
      </c>
      <c r="AG17" s="9" t="s">
        <v>75</v>
      </c>
      <c r="AH17" s="9" t="s">
        <v>75</v>
      </c>
      <c r="AI17" s="9" t="s">
        <v>75</v>
      </c>
      <c r="AJ17" s="9" t="s">
        <v>75</v>
      </c>
      <c r="AK17" s="9" t="s">
        <v>75</v>
      </c>
      <c r="AL17" s="9" t="s">
        <v>75</v>
      </c>
      <c r="AM17" s="9" t="s">
        <v>75</v>
      </c>
      <c r="AN17" s="9" t="n">
        <v>9.61691</v>
      </c>
      <c r="AO17" s="9" t="s">
        <v>75</v>
      </c>
      <c r="AP17" s="9" t="s">
        <v>75</v>
      </c>
      <c r="AQ17" s="9" t="n">
        <v>5.2037</v>
      </c>
      <c r="AR17" s="9" t="s">
        <v>75</v>
      </c>
      <c r="AS17" s="9" t="s">
        <v>75</v>
      </c>
      <c r="AT17" s="9" t="n">
        <v>0.00977905</v>
      </c>
      <c r="AU17" s="9" t="s">
        <v>75</v>
      </c>
      <c r="AV17" s="9" t="s">
        <v>75</v>
      </c>
      <c r="AW17" s="9" t="n">
        <v>157.85</v>
      </c>
      <c r="AX17" s="9" t="s">
        <v>75</v>
      </c>
      <c r="AY17" s="9" t="s">
        <v>75</v>
      </c>
    </row>
    <row r="18" customFormat="false" ht="15" hidden="false" customHeight="false" outlineLevel="0" collapsed="false">
      <c r="A18" s="9" t="s">
        <v>73</v>
      </c>
      <c r="B18" s="9" t="s">
        <v>74</v>
      </c>
      <c r="C18" s="9" t="n">
        <v>32</v>
      </c>
      <c r="D18" s="9" t="n">
        <v>1</v>
      </c>
      <c r="E18" s="9" t="n">
        <v>0</v>
      </c>
      <c r="F18" s="9" t="n">
        <v>0</v>
      </c>
      <c r="G18" s="9" t="n">
        <v>1</v>
      </c>
      <c r="H18" s="9" t="n">
        <v>1</v>
      </c>
      <c r="I18" s="9" t="n">
        <v>1</v>
      </c>
      <c r="J18" s="9" t="n">
        <v>1</v>
      </c>
      <c r="K18" s="9" t="n">
        <v>1</v>
      </c>
      <c r="L18" s="9" t="n">
        <v>1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152.881</v>
      </c>
      <c r="R18" s="9" t="s">
        <v>75</v>
      </c>
      <c r="S18" s="9" t="s">
        <v>75</v>
      </c>
      <c r="T18" s="9" t="n">
        <v>22.5688</v>
      </c>
      <c r="U18" s="9" t="n">
        <v>26.6483</v>
      </c>
      <c r="V18" s="9" t="n">
        <v>1337</v>
      </c>
      <c r="W18" s="9" t="n">
        <v>765</v>
      </c>
      <c r="X18" s="9" t="n">
        <v>99.406</v>
      </c>
      <c r="Y18" s="9" t="n">
        <v>0.359</v>
      </c>
      <c r="Z18" s="9" t="n">
        <v>0.594</v>
      </c>
      <c r="AA18" s="9" t="n">
        <v>9.62555</v>
      </c>
      <c r="AB18" s="9" t="n">
        <v>69.557</v>
      </c>
      <c r="AC18" s="9" t="n">
        <v>111.525</v>
      </c>
      <c r="AD18" s="9" t="n">
        <v>114.546</v>
      </c>
      <c r="AE18" s="9" t="n">
        <v>16.558</v>
      </c>
      <c r="AF18" s="9" t="s">
        <v>75</v>
      </c>
      <c r="AG18" s="9" t="s">
        <v>75</v>
      </c>
      <c r="AH18" s="9" t="s">
        <v>75</v>
      </c>
      <c r="AI18" s="9" t="s">
        <v>75</v>
      </c>
      <c r="AJ18" s="9" t="s">
        <v>75</v>
      </c>
      <c r="AK18" s="9" t="s">
        <v>75</v>
      </c>
      <c r="AL18" s="9" t="s">
        <v>75</v>
      </c>
      <c r="AM18" s="9" t="s">
        <v>75</v>
      </c>
      <c r="AN18" s="9" t="n">
        <v>9.61346</v>
      </c>
      <c r="AO18" s="9" t="s">
        <v>75</v>
      </c>
      <c r="AP18" s="9" t="s">
        <v>75</v>
      </c>
      <c r="AQ18" s="9" t="n">
        <v>4.92048</v>
      </c>
      <c r="AR18" s="9" t="s">
        <v>75</v>
      </c>
      <c r="AS18" s="9" t="s">
        <v>75</v>
      </c>
      <c r="AT18" s="9" t="n">
        <v>0.00955413</v>
      </c>
      <c r="AU18" s="9" t="s">
        <v>75</v>
      </c>
      <c r="AV18" s="9" t="s">
        <v>75</v>
      </c>
      <c r="AW18" s="9" t="n">
        <v>157.811</v>
      </c>
      <c r="AX18" s="9" t="s">
        <v>75</v>
      </c>
      <c r="AY18" s="9" t="s">
        <v>75</v>
      </c>
    </row>
    <row r="19" customFormat="false" ht="15" hidden="false" customHeight="false" outlineLevel="0" collapsed="false">
      <c r="A19" s="9" t="s">
        <v>73</v>
      </c>
      <c r="B19" s="9" t="s">
        <v>74</v>
      </c>
      <c r="C19" s="9" t="n">
        <v>33</v>
      </c>
      <c r="D19" s="9" t="n">
        <v>1</v>
      </c>
      <c r="E19" s="9" t="n">
        <v>0</v>
      </c>
      <c r="F19" s="9" t="n">
        <v>0</v>
      </c>
      <c r="G19" s="9" t="n">
        <v>1</v>
      </c>
      <c r="H19" s="9" t="n">
        <v>1</v>
      </c>
      <c r="I19" s="9" t="n">
        <v>1</v>
      </c>
      <c r="J19" s="9" t="n">
        <v>1</v>
      </c>
      <c r="K19" s="9" t="n">
        <v>1</v>
      </c>
      <c r="L19" s="9" t="n">
        <v>1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152.649</v>
      </c>
      <c r="R19" s="9" t="s">
        <v>75</v>
      </c>
      <c r="S19" s="9" t="s">
        <v>75</v>
      </c>
      <c r="T19" s="9" t="n">
        <v>22.9134</v>
      </c>
      <c r="U19" s="9" t="n">
        <v>26.7507</v>
      </c>
      <c r="V19" s="9" t="n">
        <v>1336</v>
      </c>
      <c r="W19" s="9" t="n">
        <v>662</v>
      </c>
      <c r="X19" s="9" t="n">
        <v>99.463</v>
      </c>
      <c r="Y19" s="9" t="n">
        <v>0.359</v>
      </c>
      <c r="Z19" s="9" t="n">
        <v>0.537</v>
      </c>
      <c r="AA19" s="9" t="n">
        <v>9.61992</v>
      </c>
      <c r="AB19" s="9" t="n">
        <v>69.62</v>
      </c>
      <c r="AC19" s="9" t="n">
        <v>111.561</v>
      </c>
      <c r="AD19" s="9" t="n">
        <v>117.791</v>
      </c>
      <c r="AE19" s="9" t="n">
        <v>14.948</v>
      </c>
      <c r="AF19" s="9" t="s">
        <v>75</v>
      </c>
      <c r="AG19" s="9" t="s">
        <v>75</v>
      </c>
      <c r="AH19" s="9" t="s">
        <v>75</v>
      </c>
      <c r="AI19" s="9" t="s">
        <v>75</v>
      </c>
      <c r="AJ19" s="9" t="s">
        <v>75</v>
      </c>
      <c r="AK19" s="9" t="s">
        <v>75</v>
      </c>
      <c r="AL19" s="9" t="s">
        <v>75</v>
      </c>
      <c r="AM19" s="9" t="s">
        <v>75</v>
      </c>
      <c r="AN19" s="9" t="n">
        <v>9.60751</v>
      </c>
      <c r="AO19" s="9" t="s">
        <v>75</v>
      </c>
      <c r="AP19" s="9" t="s">
        <v>75</v>
      </c>
      <c r="AQ19" s="9" t="n">
        <v>5.04777</v>
      </c>
      <c r="AR19" s="9" t="s">
        <v>75</v>
      </c>
      <c r="AS19" s="9" t="s">
        <v>75</v>
      </c>
      <c r="AT19" s="9" t="n">
        <v>0.0096626</v>
      </c>
      <c r="AU19" s="9" t="s">
        <v>75</v>
      </c>
      <c r="AV19" s="9" t="s">
        <v>75</v>
      </c>
      <c r="AW19" s="9" t="n">
        <v>157.706</v>
      </c>
      <c r="AX19" s="9" t="s">
        <v>75</v>
      </c>
      <c r="AY19" s="9" t="s">
        <v>75</v>
      </c>
    </row>
    <row r="20" customFormat="false" ht="15" hidden="false" customHeight="false" outlineLevel="0" collapsed="false">
      <c r="A20" s="9" t="s">
        <v>73</v>
      </c>
      <c r="B20" s="9" t="s">
        <v>76</v>
      </c>
      <c r="C20" s="9" t="n">
        <v>4</v>
      </c>
      <c r="D20" s="9" t="n">
        <v>1</v>
      </c>
      <c r="E20" s="9" t="n">
        <v>1</v>
      </c>
      <c r="F20" s="9" t="n">
        <v>0</v>
      </c>
      <c r="G20" s="9" t="n">
        <v>1</v>
      </c>
      <c r="H20" s="9" t="n">
        <v>1</v>
      </c>
      <c r="I20" s="9" t="n">
        <v>1</v>
      </c>
      <c r="J20" s="9" t="n">
        <v>1</v>
      </c>
      <c r="K20" s="9" t="n">
        <v>1</v>
      </c>
      <c r="L20" s="9" t="n">
        <v>1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792.667</v>
      </c>
      <c r="R20" s="9" t="n">
        <v>826.05</v>
      </c>
      <c r="S20" s="9" t="s">
        <v>75</v>
      </c>
      <c r="T20" s="9" t="n">
        <v>40.6799</v>
      </c>
      <c r="U20" s="9" t="n">
        <v>20.3594</v>
      </c>
      <c r="V20" s="9" t="n">
        <v>8146</v>
      </c>
      <c r="W20" s="9" t="n">
        <v>5489</v>
      </c>
      <c r="X20" s="9" t="s">
        <v>75</v>
      </c>
      <c r="Y20" s="9" t="s">
        <v>75</v>
      </c>
      <c r="Z20" s="9" t="s">
        <v>75</v>
      </c>
      <c r="AA20" s="9" t="n">
        <v>59.2095</v>
      </c>
      <c r="AB20" s="9" t="s">
        <v>75</v>
      </c>
      <c r="AC20" s="9" t="s">
        <v>75</v>
      </c>
      <c r="AD20" s="9" t="s">
        <v>75</v>
      </c>
      <c r="AE20" s="9" t="s">
        <v>75</v>
      </c>
      <c r="AF20" s="9" t="s">
        <v>75</v>
      </c>
      <c r="AG20" s="9" t="s">
        <v>75</v>
      </c>
      <c r="AH20" s="9" t="s">
        <v>75</v>
      </c>
      <c r="AI20" s="9" t="s">
        <v>75</v>
      </c>
      <c r="AJ20" s="9" t="s">
        <v>75</v>
      </c>
      <c r="AK20" s="9" t="s">
        <v>75</v>
      </c>
      <c r="AL20" s="9" t="s">
        <v>75</v>
      </c>
      <c r="AM20" s="9" t="s">
        <v>75</v>
      </c>
      <c r="AN20" s="9" t="n">
        <v>59.0867</v>
      </c>
      <c r="AO20" s="9" t="n">
        <v>59.0373</v>
      </c>
      <c r="AP20" s="9" t="s">
        <v>75</v>
      </c>
      <c r="AQ20" s="9" t="n">
        <v>5.46775</v>
      </c>
      <c r="AR20" s="9" t="n">
        <v>5.15087</v>
      </c>
      <c r="AS20" s="9" t="s">
        <v>75</v>
      </c>
      <c r="AT20" s="9" t="n">
        <v>0.0106914</v>
      </c>
      <c r="AU20" s="9" t="n">
        <v>37.6213</v>
      </c>
      <c r="AV20" s="9" t="s">
        <v>75</v>
      </c>
      <c r="AW20" s="9" t="n">
        <v>798.145</v>
      </c>
      <c r="AX20" s="9" t="n">
        <v>868.822</v>
      </c>
      <c r="AY20" s="9" t="s">
        <v>75</v>
      </c>
    </row>
    <row r="21" customFormat="false" ht="15" hidden="false" customHeight="false" outlineLevel="0" collapsed="false">
      <c r="A21" s="9" t="s">
        <v>73</v>
      </c>
      <c r="B21" s="9" t="s">
        <v>76</v>
      </c>
      <c r="C21" s="9" t="n">
        <v>5</v>
      </c>
      <c r="D21" s="9" t="n">
        <v>1</v>
      </c>
      <c r="E21" s="9" t="n">
        <v>1</v>
      </c>
      <c r="F21" s="9" t="n">
        <v>0</v>
      </c>
      <c r="G21" s="9" t="n">
        <v>1</v>
      </c>
      <c r="H21" s="9" t="n">
        <v>1</v>
      </c>
      <c r="I21" s="9" t="n">
        <v>1</v>
      </c>
      <c r="J21" s="9" t="n">
        <v>1</v>
      </c>
      <c r="K21" s="9" t="n">
        <v>1</v>
      </c>
      <c r="L21" s="9" t="n">
        <v>1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788.93</v>
      </c>
      <c r="R21" s="9" t="n">
        <v>822.028</v>
      </c>
      <c r="S21" s="9" t="s">
        <v>75</v>
      </c>
      <c r="T21" s="9" t="n">
        <v>41.0349</v>
      </c>
      <c r="U21" s="9" t="n">
        <v>20.4536</v>
      </c>
      <c r="V21" s="9" t="n">
        <v>8187</v>
      </c>
      <c r="W21" s="9" t="n">
        <v>5563</v>
      </c>
      <c r="X21" s="9" t="s">
        <v>75</v>
      </c>
      <c r="Y21" s="9" t="s">
        <v>75</v>
      </c>
      <c r="Z21" s="9" t="s">
        <v>75</v>
      </c>
      <c r="AA21" s="9" t="n">
        <v>58.941</v>
      </c>
      <c r="AB21" s="9" t="s">
        <v>75</v>
      </c>
      <c r="AC21" s="9" t="s">
        <v>75</v>
      </c>
      <c r="AD21" s="9" t="s">
        <v>75</v>
      </c>
      <c r="AE21" s="9" t="s">
        <v>75</v>
      </c>
      <c r="AF21" s="9" t="s">
        <v>75</v>
      </c>
      <c r="AG21" s="9" t="s">
        <v>75</v>
      </c>
      <c r="AH21" s="9" t="s">
        <v>75</v>
      </c>
      <c r="AI21" s="9" t="s">
        <v>75</v>
      </c>
      <c r="AJ21" s="9" t="s">
        <v>75</v>
      </c>
      <c r="AK21" s="9" t="s">
        <v>75</v>
      </c>
      <c r="AL21" s="9" t="s">
        <v>75</v>
      </c>
      <c r="AM21" s="9" t="s">
        <v>75</v>
      </c>
      <c r="AN21" s="9" t="n">
        <v>58.8227</v>
      </c>
      <c r="AO21" s="9" t="n">
        <v>58.7699</v>
      </c>
      <c r="AP21" s="9" t="s">
        <v>75</v>
      </c>
      <c r="AQ21" s="9" t="n">
        <v>5.57967</v>
      </c>
      <c r="AR21" s="9" t="n">
        <v>5.11583</v>
      </c>
      <c r="AS21" s="9" t="s">
        <v>75</v>
      </c>
      <c r="AT21" s="9" t="n">
        <v>0.0105358</v>
      </c>
      <c r="AU21" s="9" t="n">
        <v>37.6231</v>
      </c>
      <c r="AV21" s="9" t="s">
        <v>75</v>
      </c>
      <c r="AW21" s="9" t="n">
        <v>794.52</v>
      </c>
      <c r="AX21" s="9" t="n">
        <v>864.767</v>
      </c>
      <c r="AY21" s="9" t="s">
        <v>75</v>
      </c>
    </row>
    <row r="22" customFormat="false" ht="15" hidden="false" customHeight="false" outlineLevel="0" collapsed="false">
      <c r="A22" s="9" t="s">
        <v>73</v>
      </c>
      <c r="B22" s="9" t="s">
        <v>76</v>
      </c>
      <c r="C22" s="9" t="n">
        <v>6</v>
      </c>
      <c r="D22" s="9" t="n">
        <v>1</v>
      </c>
      <c r="E22" s="9" t="n">
        <v>1</v>
      </c>
      <c r="F22" s="9" t="n">
        <v>0</v>
      </c>
      <c r="G22" s="9" t="n">
        <v>1</v>
      </c>
      <c r="H22" s="9" t="n">
        <v>1</v>
      </c>
      <c r="I22" s="9" t="n">
        <v>1</v>
      </c>
      <c r="J22" s="9" t="n">
        <v>1</v>
      </c>
      <c r="K22" s="9" t="n">
        <v>1</v>
      </c>
      <c r="L22" s="9" t="n">
        <v>1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795.642</v>
      </c>
      <c r="R22" s="9" t="n">
        <v>829.386</v>
      </c>
      <c r="S22" s="9" t="s">
        <v>75</v>
      </c>
      <c r="T22" s="9" t="n">
        <v>40.7169</v>
      </c>
      <c r="U22" s="9" t="n">
        <v>20.3569</v>
      </c>
      <c r="V22" s="9" t="n">
        <v>8204</v>
      </c>
      <c r="W22" s="9" t="n">
        <v>4954</v>
      </c>
      <c r="X22" s="9" t="s">
        <v>75</v>
      </c>
      <c r="Y22" s="9" t="s">
        <v>75</v>
      </c>
      <c r="Z22" s="9" t="s">
        <v>75</v>
      </c>
      <c r="AA22" s="9" t="n">
        <v>59.4241</v>
      </c>
      <c r="AB22" s="9" t="s">
        <v>75</v>
      </c>
      <c r="AC22" s="9" t="s">
        <v>75</v>
      </c>
      <c r="AD22" s="9" t="s">
        <v>75</v>
      </c>
      <c r="AE22" s="9" t="s">
        <v>75</v>
      </c>
      <c r="AF22" s="9" t="s">
        <v>75</v>
      </c>
      <c r="AG22" s="9" t="s">
        <v>75</v>
      </c>
      <c r="AH22" s="9" t="s">
        <v>75</v>
      </c>
      <c r="AI22" s="9" t="s">
        <v>75</v>
      </c>
      <c r="AJ22" s="9" t="s">
        <v>75</v>
      </c>
      <c r="AK22" s="9" t="s">
        <v>75</v>
      </c>
      <c r="AL22" s="9" t="s">
        <v>75</v>
      </c>
      <c r="AM22" s="9" t="s">
        <v>75</v>
      </c>
      <c r="AN22" s="9" t="n">
        <v>59.3012</v>
      </c>
      <c r="AO22" s="9" t="n">
        <v>59.2525</v>
      </c>
      <c r="AP22" s="9" t="s">
        <v>75</v>
      </c>
      <c r="AQ22" s="9" t="n">
        <v>5.51006</v>
      </c>
      <c r="AR22" s="9" t="n">
        <v>5.09479</v>
      </c>
      <c r="AS22" s="9" t="s">
        <v>75</v>
      </c>
      <c r="AT22" s="9" t="n">
        <v>0.0103725</v>
      </c>
      <c r="AU22" s="9" t="n">
        <v>37.5291</v>
      </c>
      <c r="AV22" s="9" t="s">
        <v>75</v>
      </c>
      <c r="AW22" s="9" t="n">
        <v>801.162</v>
      </c>
      <c r="AX22" s="9" t="n">
        <v>872.01</v>
      </c>
      <c r="AY22" s="9" t="s">
        <v>75</v>
      </c>
    </row>
    <row r="23" customFormat="false" ht="15" hidden="false" customHeight="false" outlineLevel="0" collapsed="false">
      <c r="A23" s="9" t="s">
        <v>73</v>
      </c>
      <c r="B23" s="9" t="s">
        <v>76</v>
      </c>
      <c r="C23" s="9" t="n">
        <v>25</v>
      </c>
      <c r="D23" s="9" t="n">
        <v>1</v>
      </c>
      <c r="E23" s="9" t="n">
        <v>1</v>
      </c>
      <c r="F23" s="9" t="n">
        <v>0</v>
      </c>
      <c r="G23" s="9" t="n">
        <v>1</v>
      </c>
      <c r="H23" s="9" t="n">
        <v>1</v>
      </c>
      <c r="I23" s="9" t="n">
        <v>1</v>
      </c>
      <c r="J23" s="9" t="n">
        <v>1</v>
      </c>
      <c r="K23" s="9" t="n">
        <v>1</v>
      </c>
      <c r="L23" s="9" t="n">
        <v>1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607.042</v>
      </c>
      <c r="R23" s="9" t="n">
        <v>642.802</v>
      </c>
      <c r="S23" s="9" t="s">
        <v>75</v>
      </c>
      <c r="T23" s="9" t="n">
        <v>43.5843</v>
      </c>
      <c r="U23" s="9" t="n">
        <v>27.4849</v>
      </c>
      <c r="V23" s="9" t="n">
        <v>8266</v>
      </c>
      <c r="W23" s="9" t="n">
        <v>5529</v>
      </c>
      <c r="X23" s="9" t="n">
        <v>99.912</v>
      </c>
      <c r="Y23" s="9" t="n">
        <v>27.736</v>
      </c>
      <c r="Z23" s="9" t="n">
        <v>0.088</v>
      </c>
      <c r="AA23" s="9" t="n">
        <v>45.2919</v>
      </c>
      <c r="AB23" s="9" t="n">
        <v>13.851</v>
      </c>
      <c r="AC23" s="9" t="n">
        <v>23.687</v>
      </c>
      <c r="AD23" s="9" t="n">
        <v>33.086</v>
      </c>
      <c r="AE23" s="9" t="n">
        <v>16.486</v>
      </c>
      <c r="AF23" s="9" t="n">
        <v>13.851</v>
      </c>
      <c r="AG23" s="9" t="n">
        <v>25.158</v>
      </c>
      <c r="AH23" s="9" t="n">
        <v>169.833</v>
      </c>
      <c r="AI23" s="9" t="n">
        <v>1.938</v>
      </c>
      <c r="AJ23" s="9" t="s">
        <v>75</v>
      </c>
      <c r="AK23" s="9" t="s">
        <v>75</v>
      </c>
      <c r="AL23" s="9" t="s">
        <v>75</v>
      </c>
      <c r="AM23" s="9" t="s">
        <v>75</v>
      </c>
      <c r="AN23" s="9" t="n">
        <v>45.0645</v>
      </c>
      <c r="AO23" s="9" t="n">
        <v>45.1194</v>
      </c>
      <c r="AP23" s="9" t="s">
        <v>75</v>
      </c>
      <c r="AQ23" s="9" t="n">
        <v>5.71055</v>
      </c>
      <c r="AR23" s="9" t="n">
        <v>5.29501</v>
      </c>
      <c r="AS23" s="9" t="s">
        <v>75</v>
      </c>
      <c r="AT23" s="9" t="n">
        <v>0.0105543</v>
      </c>
      <c r="AU23" s="9" t="n">
        <v>37.4531</v>
      </c>
      <c r="AV23" s="9" t="s">
        <v>75</v>
      </c>
      <c r="AW23" s="9" t="n">
        <v>612.763</v>
      </c>
      <c r="AX23" s="9" t="n">
        <v>685.55</v>
      </c>
      <c r="AY23" s="9" t="s">
        <v>75</v>
      </c>
    </row>
    <row r="24" customFormat="false" ht="15" hidden="false" customHeight="false" outlineLevel="0" collapsed="false">
      <c r="A24" s="9" t="s">
        <v>73</v>
      </c>
      <c r="B24" s="9" t="s">
        <v>76</v>
      </c>
      <c r="C24" s="9" t="n">
        <v>26</v>
      </c>
      <c r="D24" s="9" t="n">
        <v>1</v>
      </c>
      <c r="E24" s="9" t="n">
        <v>1</v>
      </c>
      <c r="F24" s="9" t="n">
        <v>0</v>
      </c>
      <c r="G24" s="9" t="n">
        <v>1</v>
      </c>
      <c r="H24" s="9" t="n">
        <v>1</v>
      </c>
      <c r="I24" s="9" t="n">
        <v>1</v>
      </c>
      <c r="J24" s="9" t="n">
        <v>1</v>
      </c>
      <c r="K24" s="9" t="n">
        <v>1</v>
      </c>
      <c r="L24" s="9" t="n">
        <v>1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609.075</v>
      </c>
      <c r="R24" s="9" t="n">
        <v>644.674</v>
      </c>
      <c r="S24" s="9" t="s">
        <v>75</v>
      </c>
      <c r="T24" s="9" t="n">
        <v>43.5123</v>
      </c>
      <c r="U24" s="9" t="n">
        <v>27.6699</v>
      </c>
      <c r="V24" s="9" t="n">
        <v>8250</v>
      </c>
      <c r="W24" s="9" t="n">
        <v>5793</v>
      </c>
      <c r="X24" s="9" t="n">
        <v>99.922</v>
      </c>
      <c r="Y24" s="9" t="n">
        <v>27.652</v>
      </c>
      <c r="Z24" s="9" t="n">
        <v>0.078</v>
      </c>
      <c r="AA24" s="9" t="n">
        <v>45.4337</v>
      </c>
      <c r="AB24" s="9" t="n">
        <v>13.826</v>
      </c>
      <c r="AC24" s="9" t="n">
        <v>23.682</v>
      </c>
      <c r="AD24" s="9" t="n">
        <v>33.383</v>
      </c>
      <c r="AE24" s="9" t="n">
        <v>16.514</v>
      </c>
      <c r="AF24" s="9" t="n">
        <v>13.792</v>
      </c>
      <c r="AG24" s="9" t="n">
        <v>25.024</v>
      </c>
      <c r="AH24" s="9" t="n">
        <v>181.184</v>
      </c>
      <c r="AI24" s="9" t="n">
        <v>2.207</v>
      </c>
      <c r="AJ24" s="9" t="s">
        <v>75</v>
      </c>
      <c r="AK24" s="9" t="s">
        <v>75</v>
      </c>
      <c r="AL24" s="9" t="s">
        <v>75</v>
      </c>
      <c r="AM24" s="9" t="s">
        <v>75</v>
      </c>
      <c r="AN24" s="9" t="n">
        <v>45.2067</v>
      </c>
      <c r="AO24" s="9" t="n">
        <v>45.2597</v>
      </c>
      <c r="AP24" s="9" t="s">
        <v>75</v>
      </c>
      <c r="AQ24" s="9" t="n">
        <v>5.60294</v>
      </c>
      <c r="AR24" s="9" t="n">
        <v>5.17437</v>
      </c>
      <c r="AS24" s="9" t="s">
        <v>75</v>
      </c>
      <c r="AT24" s="9" t="n">
        <v>0.0111264</v>
      </c>
      <c r="AU24" s="9" t="n">
        <v>37.2188</v>
      </c>
      <c r="AV24" s="9" t="s">
        <v>75</v>
      </c>
      <c r="AW24" s="9" t="n">
        <v>614.689</v>
      </c>
      <c r="AX24" s="9" t="n">
        <v>687.067</v>
      </c>
      <c r="AY24" s="9" t="s">
        <v>75</v>
      </c>
    </row>
    <row r="25" customFormat="false" ht="15" hidden="false" customHeight="false" outlineLevel="0" collapsed="false">
      <c r="A25" s="9" t="s">
        <v>73</v>
      </c>
      <c r="B25" s="9" t="s">
        <v>76</v>
      </c>
      <c r="C25" s="9" t="n">
        <v>27</v>
      </c>
      <c r="D25" s="9" t="n">
        <v>1</v>
      </c>
      <c r="E25" s="9" t="n">
        <v>1</v>
      </c>
      <c r="F25" s="9" t="n">
        <v>0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607.846</v>
      </c>
      <c r="R25" s="9" t="n">
        <v>643.663</v>
      </c>
      <c r="S25" s="9" t="s">
        <v>75</v>
      </c>
      <c r="T25" s="9" t="n">
        <v>43.5843</v>
      </c>
      <c r="U25" s="9" t="n">
        <v>27.3872</v>
      </c>
      <c r="V25" s="9" t="n">
        <v>8260</v>
      </c>
      <c r="W25" s="9" t="n">
        <v>4732</v>
      </c>
      <c r="X25" s="9" t="n">
        <v>99.996</v>
      </c>
      <c r="Y25" s="9" t="n">
        <v>27.67</v>
      </c>
      <c r="Z25" s="9" t="n">
        <v>0.004</v>
      </c>
      <c r="AA25" s="9" t="n">
        <v>45.2962</v>
      </c>
      <c r="AB25" s="9" t="n">
        <v>13.818</v>
      </c>
      <c r="AC25" s="9" t="n">
        <v>23.737</v>
      </c>
      <c r="AD25" s="9" t="n">
        <v>30.886</v>
      </c>
      <c r="AE25" s="9" t="n">
        <v>16.257</v>
      </c>
      <c r="AF25" s="9" t="n">
        <v>13.818</v>
      </c>
      <c r="AG25" s="9" t="n">
        <v>25.968</v>
      </c>
      <c r="AH25" s="9" t="n">
        <v>196.175</v>
      </c>
      <c r="AI25" s="9" t="n">
        <v>2.205</v>
      </c>
      <c r="AJ25" s="9" t="s">
        <v>75</v>
      </c>
      <c r="AK25" s="9" t="s">
        <v>75</v>
      </c>
      <c r="AL25" s="9" t="s">
        <v>75</v>
      </c>
      <c r="AM25" s="9" t="s">
        <v>75</v>
      </c>
      <c r="AN25" s="9" t="n">
        <v>45.1222</v>
      </c>
      <c r="AO25" s="9" t="n">
        <v>45.1262</v>
      </c>
      <c r="AP25" s="9" t="s">
        <v>75</v>
      </c>
      <c r="AQ25" s="9" t="n">
        <v>5.64683</v>
      </c>
      <c r="AR25" s="9" t="n">
        <v>5.15043</v>
      </c>
      <c r="AS25" s="9" t="s">
        <v>75</v>
      </c>
      <c r="AT25" s="9" t="n">
        <v>0.0102898</v>
      </c>
      <c r="AU25" s="9" t="n">
        <v>37.1183</v>
      </c>
      <c r="AV25" s="9" t="s">
        <v>75</v>
      </c>
      <c r="AW25" s="9" t="n">
        <v>613.503</v>
      </c>
      <c r="AX25" s="9" t="n">
        <v>685.932</v>
      </c>
      <c r="AY25" s="9" t="s">
        <v>75</v>
      </c>
    </row>
    <row r="26" customFormat="false" ht="15" hidden="false" customHeight="false" outlineLevel="0" collapsed="false">
      <c r="A26" s="9" t="s">
        <v>73</v>
      </c>
      <c r="B26" s="9" t="s">
        <v>77</v>
      </c>
      <c r="C26" s="9" t="n">
        <v>7</v>
      </c>
      <c r="D26" s="9" t="n">
        <v>1</v>
      </c>
      <c r="E26" s="9" t="n">
        <v>0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670.94</v>
      </c>
      <c r="R26" s="9" t="s">
        <v>75</v>
      </c>
      <c r="S26" s="9" t="n">
        <v>675.776</v>
      </c>
      <c r="T26" s="9" t="n">
        <v>30.7228</v>
      </c>
      <c r="U26" s="9" t="n">
        <v>19.7797</v>
      </c>
      <c r="V26" s="9" t="n">
        <v>7830</v>
      </c>
      <c r="W26" s="9" t="n">
        <v>3405</v>
      </c>
      <c r="X26" s="9" t="s">
        <v>75</v>
      </c>
      <c r="Y26" s="9" t="s">
        <v>75</v>
      </c>
      <c r="Z26" s="9" t="s">
        <v>75</v>
      </c>
      <c r="AA26" s="9" t="n">
        <v>49.9109</v>
      </c>
      <c r="AB26" s="9" t="s">
        <v>75</v>
      </c>
      <c r="AC26" s="9" t="s">
        <v>75</v>
      </c>
      <c r="AD26" s="9" t="s">
        <v>75</v>
      </c>
      <c r="AE26" s="9" t="s">
        <v>75</v>
      </c>
      <c r="AF26" s="9" t="s">
        <v>75</v>
      </c>
      <c r="AG26" s="9" t="s">
        <v>75</v>
      </c>
      <c r="AH26" s="9" t="s">
        <v>75</v>
      </c>
      <c r="AI26" s="9" t="s">
        <v>75</v>
      </c>
      <c r="AJ26" s="9" t="s">
        <v>75</v>
      </c>
      <c r="AK26" s="9" t="s">
        <v>75</v>
      </c>
      <c r="AL26" s="9" t="s">
        <v>75</v>
      </c>
      <c r="AM26" s="9" t="s">
        <v>75</v>
      </c>
      <c r="AN26" s="9" t="n">
        <v>49.896</v>
      </c>
      <c r="AO26" s="9" t="s">
        <v>75</v>
      </c>
      <c r="AP26" s="9" t="n">
        <v>49.8432</v>
      </c>
      <c r="AQ26" s="9" t="n">
        <v>5.07818</v>
      </c>
      <c r="AR26" s="9" t="s">
        <v>75</v>
      </c>
      <c r="AS26" s="9" t="n">
        <v>5.28689</v>
      </c>
      <c r="AT26" s="9" t="n">
        <v>0.00949718</v>
      </c>
      <c r="AU26" s="9" t="s">
        <v>75</v>
      </c>
      <c r="AV26" s="9" t="n">
        <v>0.149182</v>
      </c>
      <c r="AW26" s="9" t="n">
        <v>676.028</v>
      </c>
      <c r="AX26" s="9" t="s">
        <v>75</v>
      </c>
      <c r="AY26" s="9" t="n">
        <v>681.212</v>
      </c>
    </row>
    <row r="27" customFormat="false" ht="15" hidden="false" customHeight="false" outlineLevel="0" collapsed="false">
      <c r="A27" s="9" t="s">
        <v>73</v>
      </c>
      <c r="B27" s="9" t="s">
        <v>77</v>
      </c>
      <c r="C27" s="9" t="n">
        <v>8</v>
      </c>
      <c r="D27" s="9" t="n">
        <v>1</v>
      </c>
      <c r="E27" s="9" t="n">
        <v>0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670.712</v>
      </c>
      <c r="R27" s="9" t="s">
        <v>75</v>
      </c>
      <c r="S27" s="9" t="n">
        <v>676.795</v>
      </c>
      <c r="T27" s="9" t="n">
        <v>30.8054</v>
      </c>
      <c r="U27" s="9" t="n">
        <v>19.9369</v>
      </c>
      <c r="V27" s="9" t="n">
        <v>7822</v>
      </c>
      <c r="W27" s="9" t="n">
        <v>2724</v>
      </c>
      <c r="X27" s="9" t="s">
        <v>75</v>
      </c>
      <c r="Y27" s="9" t="s">
        <v>75</v>
      </c>
      <c r="Z27" s="9" t="s">
        <v>75</v>
      </c>
      <c r="AA27" s="9" t="n">
        <v>49.9145</v>
      </c>
      <c r="AB27" s="9" t="s">
        <v>75</v>
      </c>
      <c r="AC27" s="9" t="s">
        <v>75</v>
      </c>
      <c r="AD27" s="9" t="s">
        <v>75</v>
      </c>
      <c r="AE27" s="9" t="s">
        <v>75</v>
      </c>
      <c r="AF27" s="9" t="s">
        <v>75</v>
      </c>
      <c r="AG27" s="9" t="s">
        <v>75</v>
      </c>
      <c r="AH27" s="9" t="s">
        <v>75</v>
      </c>
      <c r="AI27" s="9" t="s">
        <v>75</v>
      </c>
      <c r="AJ27" s="9" t="s">
        <v>75</v>
      </c>
      <c r="AK27" s="9" t="s">
        <v>75</v>
      </c>
      <c r="AL27" s="9" t="s">
        <v>75</v>
      </c>
      <c r="AM27" s="9" t="s">
        <v>75</v>
      </c>
      <c r="AN27" s="9" t="n">
        <v>49.8498</v>
      </c>
      <c r="AO27" s="9" t="s">
        <v>75</v>
      </c>
      <c r="AP27" s="9" t="n">
        <v>49.8989</v>
      </c>
      <c r="AQ27" s="9" t="n">
        <v>5.04077</v>
      </c>
      <c r="AR27" s="9" t="s">
        <v>75</v>
      </c>
      <c r="AS27" s="9" t="n">
        <v>5.27848</v>
      </c>
      <c r="AT27" s="9" t="n">
        <v>0.00965498</v>
      </c>
      <c r="AU27" s="9" t="s">
        <v>75</v>
      </c>
      <c r="AV27" s="9" t="n">
        <v>0.154758</v>
      </c>
      <c r="AW27" s="9" t="n">
        <v>675.762</v>
      </c>
      <c r="AX27" s="9" t="s">
        <v>75</v>
      </c>
      <c r="AY27" s="9" t="n">
        <v>682.228</v>
      </c>
    </row>
    <row r="28" customFormat="false" ht="15" hidden="false" customHeight="false" outlineLevel="0" collapsed="false">
      <c r="A28" s="9" t="s">
        <v>73</v>
      </c>
      <c r="B28" s="9" t="s">
        <v>77</v>
      </c>
      <c r="C28" s="9" t="n">
        <v>9</v>
      </c>
      <c r="D28" s="9" t="n">
        <v>1</v>
      </c>
      <c r="E28" s="9" t="n">
        <v>0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0</v>
      </c>
      <c r="N28" s="9" t="n">
        <v>0</v>
      </c>
      <c r="O28" s="9" t="n">
        <v>0</v>
      </c>
      <c r="P28" s="9" t="n">
        <v>0</v>
      </c>
      <c r="Q28" s="9" t="n">
        <v>678.788</v>
      </c>
      <c r="R28" s="9" t="s">
        <v>75</v>
      </c>
      <c r="S28" s="9" t="n">
        <v>686.915</v>
      </c>
      <c r="T28" s="9" t="n">
        <v>30.8893</v>
      </c>
      <c r="U28" s="9" t="n">
        <v>19.8404</v>
      </c>
      <c r="V28" s="9" t="n">
        <v>7842</v>
      </c>
      <c r="W28" s="9" t="n">
        <v>2978</v>
      </c>
      <c r="X28" s="9" t="s">
        <v>75</v>
      </c>
      <c r="Y28" s="9" t="s">
        <v>75</v>
      </c>
      <c r="Z28" s="9" t="s">
        <v>75</v>
      </c>
      <c r="AA28" s="9" t="n">
        <v>50.5861</v>
      </c>
      <c r="AB28" s="9" t="s">
        <v>75</v>
      </c>
      <c r="AC28" s="9" t="s">
        <v>75</v>
      </c>
      <c r="AD28" s="9" t="s">
        <v>75</v>
      </c>
      <c r="AE28" s="9" t="s">
        <v>75</v>
      </c>
      <c r="AF28" s="9" t="s">
        <v>75</v>
      </c>
      <c r="AG28" s="9" t="s">
        <v>75</v>
      </c>
      <c r="AH28" s="9" t="s">
        <v>75</v>
      </c>
      <c r="AI28" s="9" t="s">
        <v>75</v>
      </c>
      <c r="AJ28" s="9" t="s">
        <v>75</v>
      </c>
      <c r="AK28" s="9" t="s">
        <v>75</v>
      </c>
      <c r="AL28" s="9" t="s">
        <v>75</v>
      </c>
      <c r="AM28" s="9" t="s">
        <v>75</v>
      </c>
      <c r="AN28" s="9" t="n">
        <v>50.4651</v>
      </c>
      <c r="AO28" s="9" t="s">
        <v>75</v>
      </c>
      <c r="AP28" s="9" t="n">
        <v>50.55</v>
      </c>
      <c r="AQ28" s="9" t="n">
        <v>5.04933</v>
      </c>
      <c r="AR28" s="9" t="s">
        <v>75</v>
      </c>
      <c r="AS28" s="9" t="n">
        <v>5.3281</v>
      </c>
      <c r="AT28" s="9" t="n">
        <v>0.0098175</v>
      </c>
      <c r="AU28" s="9" t="s">
        <v>75</v>
      </c>
      <c r="AV28" s="9" t="n">
        <v>0.165027</v>
      </c>
      <c r="AW28" s="9" t="n">
        <v>683.847</v>
      </c>
      <c r="AX28" s="9" t="s">
        <v>75</v>
      </c>
      <c r="AY28" s="9" t="n">
        <v>692.408</v>
      </c>
    </row>
    <row r="29" customFormat="false" ht="15" hidden="false" customHeight="false" outlineLevel="0" collapsed="false">
      <c r="A29" s="9" t="s">
        <v>73</v>
      </c>
      <c r="B29" s="9" t="s">
        <v>77</v>
      </c>
      <c r="C29" s="9" t="n">
        <v>28</v>
      </c>
      <c r="D29" s="9" t="n">
        <v>1</v>
      </c>
      <c r="E29" s="9" t="n">
        <v>0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553.291</v>
      </c>
      <c r="R29" s="9" t="s">
        <v>75</v>
      </c>
      <c r="S29" s="9" t="n">
        <v>550.784</v>
      </c>
      <c r="T29" s="9" t="n">
        <v>30.475</v>
      </c>
      <c r="U29" s="9" t="n">
        <v>27.0526</v>
      </c>
      <c r="V29" s="9" t="n">
        <v>7649</v>
      </c>
      <c r="W29" s="9" t="n">
        <v>3421</v>
      </c>
      <c r="X29" s="9" t="n">
        <v>99.928</v>
      </c>
      <c r="Y29" s="9" t="n">
        <v>30.98</v>
      </c>
      <c r="Z29" s="9" t="n">
        <v>0.072</v>
      </c>
      <c r="AA29" s="9" t="n">
        <v>40.9888</v>
      </c>
      <c r="AB29" s="9" t="n">
        <v>15.49</v>
      </c>
      <c r="AC29" s="9" t="n">
        <v>23.077</v>
      </c>
      <c r="AD29" s="9" t="n">
        <v>27.182</v>
      </c>
      <c r="AE29" s="9" t="n">
        <v>14.95</v>
      </c>
      <c r="AF29" s="9" t="s">
        <v>75</v>
      </c>
      <c r="AG29" s="9" t="s">
        <v>75</v>
      </c>
      <c r="AH29" s="9" t="s">
        <v>75</v>
      </c>
      <c r="AI29" s="9" t="s">
        <v>75</v>
      </c>
      <c r="AJ29" s="9" t="n">
        <v>15.456</v>
      </c>
      <c r="AK29" s="9" t="n">
        <v>14.151</v>
      </c>
      <c r="AL29" s="9" t="n">
        <v>31.458</v>
      </c>
      <c r="AM29" s="9" t="n">
        <v>1.922</v>
      </c>
      <c r="AN29" s="9" t="n">
        <v>40.9589</v>
      </c>
      <c r="AO29" s="9" t="s">
        <v>75</v>
      </c>
      <c r="AP29" s="9" t="n">
        <v>40.9627</v>
      </c>
      <c r="AQ29" s="9" t="n">
        <v>5.04321</v>
      </c>
      <c r="AR29" s="9" t="s">
        <v>75</v>
      </c>
      <c r="AS29" s="9" t="n">
        <v>5.49584</v>
      </c>
      <c r="AT29" s="9" t="n">
        <v>0.00978957</v>
      </c>
      <c r="AU29" s="9" t="s">
        <v>75</v>
      </c>
      <c r="AV29" s="9" t="n">
        <v>0.155014</v>
      </c>
      <c r="AW29" s="9" t="n">
        <v>558.344</v>
      </c>
      <c r="AX29" s="9" t="s">
        <v>75</v>
      </c>
      <c r="AY29" s="9" t="n">
        <v>556.435</v>
      </c>
    </row>
    <row r="30" customFormat="false" ht="15" hidden="false" customHeight="false" outlineLevel="0" collapsed="false">
      <c r="A30" s="9" t="s">
        <v>73</v>
      </c>
      <c r="B30" s="9" t="s">
        <v>77</v>
      </c>
      <c r="C30" s="9" t="n">
        <v>29</v>
      </c>
      <c r="D30" s="9" t="n">
        <v>1</v>
      </c>
      <c r="E30" s="9" t="n">
        <v>0</v>
      </c>
      <c r="F30" s="9" t="n">
        <v>1</v>
      </c>
      <c r="G30" s="9" t="n">
        <v>1</v>
      </c>
      <c r="H30" s="9" t="n">
        <v>1</v>
      </c>
      <c r="I30" s="9" t="n">
        <v>1</v>
      </c>
      <c r="J30" s="9" t="n">
        <v>1</v>
      </c>
      <c r="K30" s="9" t="n">
        <v>1</v>
      </c>
      <c r="L30" s="9" t="n">
        <v>1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553.288</v>
      </c>
      <c r="R30" s="9" t="s">
        <v>75</v>
      </c>
      <c r="S30" s="9" t="n">
        <v>551.007</v>
      </c>
      <c r="T30" s="9" t="n">
        <v>30.5525</v>
      </c>
      <c r="U30" s="9" t="n">
        <v>26.9888</v>
      </c>
      <c r="V30" s="9" t="n">
        <v>7656</v>
      </c>
      <c r="W30" s="9" t="n">
        <v>3493</v>
      </c>
      <c r="X30" s="9" t="n">
        <v>99.882</v>
      </c>
      <c r="Y30" s="9" t="n">
        <v>30.992</v>
      </c>
      <c r="Z30" s="9" t="n">
        <v>0.119</v>
      </c>
      <c r="AA30" s="9" t="n">
        <v>40.9903</v>
      </c>
      <c r="AB30" s="9" t="n">
        <v>15.496</v>
      </c>
      <c r="AC30" s="9" t="n">
        <v>23.09</v>
      </c>
      <c r="AD30" s="9" t="n">
        <v>25.297</v>
      </c>
      <c r="AE30" s="9" t="n">
        <v>15.013</v>
      </c>
      <c r="AF30" s="9" t="s">
        <v>75</v>
      </c>
      <c r="AG30" s="9" t="s">
        <v>75</v>
      </c>
      <c r="AH30" s="9" t="s">
        <v>75</v>
      </c>
      <c r="AI30" s="9" t="s">
        <v>75</v>
      </c>
      <c r="AJ30" s="9" t="n">
        <v>15.463</v>
      </c>
      <c r="AK30" s="9" t="n">
        <v>14.098</v>
      </c>
      <c r="AL30" s="9" t="n">
        <v>31.546</v>
      </c>
      <c r="AM30" s="9" t="n">
        <v>1.944</v>
      </c>
      <c r="AN30" s="9" t="n">
        <v>40.9591</v>
      </c>
      <c r="AO30" s="9" t="s">
        <v>75</v>
      </c>
      <c r="AP30" s="9" t="n">
        <v>40.977</v>
      </c>
      <c r="AQ30" s="9" t="n">
        <v>5.05533</v>
      </c>
      <c r="AR30" s="9" t="s">
        <v>75</v>
      </c>
      <c r="AS30" s="9" t="n">
        <v>5.46352</v>
      </c>
      <c r="AT30" s="9" t="n">
        <v>0.00914022</v>
      </c>
      <c r="AU30" s="9" t="s">
        <v>75</v>
      </c>
      <c r="AV30" s="9" t="n">
        <v>0.151279</v>
      </c>
      <c r="AW30" s="9" t="n">
        <v>558.352</v>
      </c>
      <c r="AX30" s="9" t="s">
        <v>75</v>
      </c>
      <c r="AY30" s="9" t="n">
        <v>556.622</v>
      </c>
    </row>
    <row r="31" customFormat="false" ht="15" hidden="false" customHeight="false" outlineLevel="0" collapsed="false">
      <c r="A31" s="9" t="s">
        <v>73</v>
      </c>
      <c r="B31" s="9" t="s">
        <v>77</v>
      </c>
      <c r="C31" s="9" t="n">
        <v>30</v>
      </c>
      <c r="D31" s="9" t="n">
        <v>1</v>
      </c>
      <c r="E31" s="9" t="n">
        <v>0</v>
      </c>
      <c r="F31" s="9" t="n">
        <v>1</v>
      </c>
      <c r="G31" s="9" t="n">
        <v>1</v>
      </c>
      <c r="H31" s="9" t="n">
        <v>1</v>
      </c>
      <c r="I31" s="9" t="n">
        <v>1</v>
      </c>
      <c r="J31" s="9" t="n">
        <v>1</v>
      </c>
      <c r="K31" s="9" t="n">
        <v>1</v>
      </c>
      <c r="L31" s="9" t="n">
        <v>1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555.568</v>
      </c>
      <c r="R31" s="9" t="s">
        <v>75</v>
      </c>
      <c r="S31" s="9" t="n">
        <v>553.441</v>
      </c>
      <c r="T31" s="9" t="n">
        <v>30.3941</v>
      </c>
      <c r="U31" s="9" t="n">
        <v>26.9394</v>
      </c>
      <c r="V31" s="9" t="n">
        <v>7682</v>
      </c>
      <c r="W31" s="9" t="n">
        <v>2986</v>
      </c>
      <c r="X31" s="9" t="n">
        <v>99.936</v>
      </c>
      <c r="Y31" s="9" t="n">
        <v>30.785</v>
      </c>
      <c r="Z31" s="9" t="n">
        <v>0.064</v>
      </c>
      <c r="AA31" s="9" t="n">
        <v>41.1685</v>
      </c>
      <c r="AB31" s="9" t="n">
        <v>15.392</v>
      </c>
      <c r="AC31" s="9" t="n">
        <v>23.161</v>
      </c>
      <c r="AD31" s="9" t="n">
        <v>27.513</v>
      </c>
      <c r="AE31" s="9" t="n">
        <v>15.07</v>
      </c>
      <c r="AF31" s="9" t="s">
        <v>75</v>
      </c>
      <c r="AG31" s="9" t="s">
        <v>75</v>
      </c>
      <c r="AH31" s="9" t="s">
        <v>75</v>
      </c>
      <c r="AI31" s="9" t="s">
        <v>75</v>
      </c>
      <c r="AJ31" s="9" t="n">
        <v>15.392</v>
      </c>
      <c r="AK31" s="9" t="n">
        <v>14.133</v>
      </c>
      <c r="AL31" s="9" t="n">
        <v>32.694</v>
      </c>
      <c r="AM31" s="9" t="n">
        <v>2.032</v>
      </c>
      <c r="AN31" s="9" t="n">
        <v>41.1378</v>
      </c>
      <c r="AO31" s="9" t="s">
        <v>75</v>
      </c>
      <c r="AP31" s="9" t="n">
        <v>41.1537</v>
      </c>
      <c r="AQ31" s="9" t="n">
        <v>5.12751</v>
      </c>
      <c r="AR31" s="9" t="s">
        <v>75</v>
      </c>
      <c r="AS31" s="9" t="n">
        <v>5.47182</v>
      </c>
      <c r="AT31" s="9" t="n">
        <v>0.00917831</v>
      </c>
      <c r="AU31" s="9" t="s">
        <v>75</v>
      </c>
      <c r="AV31" s="9" t="n">
        <v>0.149077</v>
      </c>
      <c r="AW31" s="9" t="n">
        <v>560.704</v>
      </c>
      <c r="AX31" s="9" t="s">
        <v>75</v>
      </c>
      <c r="AY31" s="9" t="n">
        <v>559.062</v>
      </c>
    </row>
    <row r="32" customFormat="false" ht="15" hidden="false" customHeight="false" outlineLevel="0" collapsed="false">
      <c r="A32" s="9" t="s">
        <v>73</v>
      </c>
      <c r="B32" s="9" t="s">
        <v>78</v>
      </c>
      <c r="C32" s="9" t="n">
        <v>10</v>
      </c>
      <c r="D32" s="9" t="n">
        <v>1</v>
      </c>
      <c r="E32" s="9" t="n">
        <v>1</v>
      </c>
      <c r="F32" s="9" t="n">
        <v>1</v>
      </c>
      <c r="G32" s="9" t="n">
        <v>1</v>
      </c>
      <c r="H32" s="9" t="n">
        <v>1</v>
      </c>
      <c r="I32" s="9" t="n">
        <v>1</v>
      </c>
      <c r="J32" s="9" t="n">
        <v>1</v>
      </c>
      <c r="K32" s="9" t="n">
        <v>1</v>
      </c>
      <c r="L32" s="9" t="n">
        <v>1</v>
      </c>
      <c r="M32" s="9" t="n">
        <v>0</v>
      </c>
      <c r="N32" s="9" t="n">
        <v>0</v>
      </c>
      <c r="O32" s="9" t="n">
        <v>0</v>
      </c>
      <c r="P32" s="9" t="n">
        <v>0</v>
      </c>
      <c r="Q32" s="9" t="n">
        <v>1316.89</v>
      </c>
      <c r="R32" s="9" t="n">
        <v>1347.83</v>
      </c>
      <c r="S32" s="9" t="n">
        <v>1336.28</v>
      </c>
      <c r="T32" s="9" t="n">
        <v>35.3621</v>
      </c>
      <c r="U32" s="9" t="n">
        <v>21.0261</v>
      </c>
      <c r="V32" s="9" t="n">
        <v>14749</v>
      </c>
      <c r="W32" s="9" t="n">
        <v>9201</v>
      </c>
      <c r="X32" s="9" t="n">
        <v>99.998</v>
      </c>
      <c r="Y32" s="9" t="n">
        <v>18.881</v>
      </c>
      <c r="Z32" s="9" t="n">
        <v>0.001</v>
      </c>
      <c r="AA32" s="9" t="n">
        <v>98.1239</v>
      </c>
      <c r="AB32" s="9" t="n">
        <v>6.29</v>
      </c>
      <c r="AC32" s="9" t="n">
        <v>26.103</v>
      </c>
      <c r="AD32" s="9" t="n">
        <v>36.533</v>
      </c>
      <c r="AE32" s="9" t="n">
        <v>15.408</v>
      </c>
      <c r="AF32" s="9" t="n">
        <v>6.29</v>
      </c>
      <c r="AG32" s="9" t="n">
        <v>33.727</v>
      </c>
      <c r="AH32" s="9" t="n">
        <v>69.868</v>
      </c>
      <c r="AI32" s="9" t="n">
        <v>1.993</v>
      </c>
      <c r="AJ32" s="9" t="n">
        <v>6.29</v>
      </c>
      <c r="AK32" s="9" t="n">
        <v>18.542</v>
      </c>
      <c r="AL32" s="9" t="n">
        <v>90.303</v>
      </c>
      <c r="AM32" s="9" t="n">
        <v>0.92</v>
      </c>
      <c r="AN32" s="9" t="n">
        <v>97.9959</v>
      </c>
      <c r="AO32" s="9" t="n">
        <v>97.948</v>
      </c>
      <c r="AP32" s="9" t="n">
        <v>97.9609</v>
      </c>
      <c r="AQ32" s="9" t="n">
        <v>5.39826</v>
      </c>
      <c r="AR32" s="9" t="n">
        <v>5.04146</v>
      </c>
      <c r="AS32" s="9" t="n">
        <v>6.33899</v>
      </c>
      <c r="AT32" s="9" t="n">
        <v>0.0108325</v>
      </c>
      <c r="AU32" s="9" t="n">
        <v>38.6711</v>
      </c>
      <c r="AV32" s="9" t="n">
        <v>0.157488</v>
      </c>
      <c r="AW32" s="9" t="n">
        <v>1322.3</v>
      </c>
      <c r="AX32" s="9" t="n">
        <v>1391.54</v>
      </c>
      <c r="AY32" s="9" t="n">
        <v>1342.78</v>
      </c>
    </row>
    <row r="33" customFormat="false" ht="15" hidden="false" customHeight="false" outlineLevel="0" collapsed="false">
      <c r="A33" s="9" t="s">
        <v>73</v>
      </c>
      <c r="B33" s="9" t="s">
        <v>78</v>
      </c>
      <c r="C33" s="9" t="n">
        <v>11</v>
      </c>
      <c r="D33" s="9" t="n">
        <v>1</v>
      </c>
      <c r="E33" s="9" t="n">
        <v>1</v>
      </c>
      <c r="F33" s="9" t="n">
        <v>1</v>
      </c>
      <c r="G33" s="9" t="n">
        <v>1</v>
      </c>
      <c r="H33" s="9" t="n">
        <v>1</v>
      </c>
      <c r="I33" s="9" t="n">
        <v>1</v>
      </c>
      <c r="J33" s="9" t="n">
        <v>1</v>
      </c>
      <c r="K33" s="9" t="n">
        <v>1</v>
      </c>
      <c r="L33" s="9" t="n">
        <v>1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1310.46</v>
      </c>
      <c r="R33" s="9" t="n">
        <v>1341.12</v>
      </c>
      <c r="S33" s="9" t="n">
        <v>1329.67</v>
      </c>
      <c r="T33" s="9" t="n">
        <v>35.2474</v>
      </c>
      <c r="U33" s="9" t="n">
        <v>20.9594</v>
      </c>
      <c r="V33" s="9" t="n">
        <v>14748</v>
      </c>
      <c r="W33" s="9" t="n">
        <v>8188</v>
      </c>
      <c r="X33" s="9" t="n">
        <v>99.999</v>
      </c>
      <c r="Y33" s="9" t="n">
        <v>19.086</v>
      </c>
      <c r="Z33" s="9" t="n">
        <v>0.001</v>
      </c>
      <c r="AA33" s="9" t="n">
        <v>97.6495</v>
      </c>
      <c r="AB33" s="9" t="n">
        <v>6.358</v>
      </c>
      <c r="AC33" s="9" t="n">
        <v>26.002</v>
      </c>
      <c r="AD33" s="9" t="n">
        <v>37.42</v>
      </c>
      <c r="AE33" s="9" t="n">
        <v>15.52</v>
      </c>
      <c r="AF33" s="9" t="n">
        <v>6.358</v>
      </c>
      <c r="AG33" s="9" t="n">
        <v>33.445</v>
      </c>
      <c r="AH33" s="9" t="n">
        <v>63.052</v>
      </c>
      <c r="AI33" s="9" t="n">
        <v>2.153</v>
      </c>
      <c r="AJ33" s="9" t="n">
        <v>6.358</v>
      </c>
      <c r="AK33" s="9" t="n">
        <v>19.095</v>
      </c>
      <c r="AL33" s="9" t="n">
        <v>88.536</v>
      </c>
      <c r="AM33" s="9" t="n">
        <v>0.905</v>
      </c>
      <c r="AN33" s="9" t="n">
        <v>97.5137</v>
      </c>
      <c r="AO33" s="9" t="n">
        <v>97.4641</v>
      </c>
      <c r="AP33" s="9" t="n">
        <v>97.48</v>
      </c>
      <c r="AQ33" s="9" t="n">
        <v>5.34108</v>
      </c>
      <c r="AR33" s="9" t="n">
        <v>5.00279</v>
      </c>
      <c r="AS33" s="9" t="n">
        <v>6.3382</v>
      </c>
      <c r="AT33" s="9" t="n">
        <v>0.0102234</v>
      </c>
      <c r="AU33" s="9" t="n">
        <v>38.5808</v>
      </c>
      <c r="AV33" s="9" t="n">
        <v>0.166792</v>
      </c>
      <c r="AW33" s="9" t="n">
        <v>1315.81</v>
      </c>
      <c r="AX33" s="9" t="n">
        <v>1384.71</v>
      </c>
      <c r="AY33" s="9" t="n">
        <v>1336.17</v>
      </c>
    </row>
    <row r="34" customFormat="false" ht="15" hidden="false" customHeight="false" outlineLevel="0" collapsed="false">
      <c r="A34" s="9" t="s">
        <v>73</v>
      </c>
      <c r="B34" s="9" t="s">
        <v>78</v>
      </c>
      <c r="C34" s="9" t="n">
        <v>12</v>
      </c>
      <c r="D34" s="9" t="n">
        <v>1</v>
      </c>
      <c r="E34" s="9" t="n">
        <v>1</v>
      </c>
      <c r="F34" s="9" t="n">
        <v>1</v>
      </c>
      <c r="G34" s="9" t="n">
        <v>1</v>
      </c>
      <c r="H34" s="9" t="n">
        <v>1</v>
      </c>
      <c r="I34" s="9" t="n">
        <v>1</v>
      </c>
      <c r="J34" s="9" t="n">
        <v>1</v>
      </c>
      <c r="K34" s="9" t="n">
        <v>1</v>
      </c>
      <c r="L34" s="9" t="n">
        <v>1</v>
      </c>
      <c r="M34" s="9" t="n">
        <v>0</v>
      </c>
      <c r="N34" s="9" t="n">
        <v>0</v>
      </c>
      <c r="O34" s="9" t="n">
        <v>0</v>
      </c>
      <c r="P34" s="9" t="n">
        <v>0</v>
      </c>
      <c r="Q34" s="9" t="n">
        <v>1311.05</v>
      </c>
      <c r="R34" s="9" t="n">
        <v>1342.36</v>
      </c>
      <c r="S34" s="9" t="n">
        <v>1329.97</v>
      </c>
      <c r="T34" s="9" t="n">
        <v>35.2565</v>
      </c>
      <c r="U34" s="9" t="n">
        <v>21.4062</v>
      </c>
      <c r="V34" s="9" t="n">
        <v>14661</v>
      </c>
      <c r="W34" s="9" t="n">
        <v>8735</v>
      </c>
      <c r="X34" s="9" t="n">
        <v>100</v>
      </c>
      <c r="Y34" s="9" t="n">
        <v>19.06</v>
      </c>
      <c r="Z34" s="9" t="n">
        <v>0</v>
      </c>
      <c r="AA34" s="9" t="n">
        <v>97.689</v>
      </c>
      <c r="AB34" s="9" t="n">
        <v>6.346</v>
      </c>
      <c r="AC34" s="9" t="n">
        <v>25.977</v>
      </c>
      <c r="AD34" s="9" t="n">
        <v>36.178</v>
      </c>
      <c r="AE34" s="9" t="n">
        <v>15.62</v>
      </c>
      <c r="AF34" s="9" t="n">
        <v>6.357</v>
      </c>
      <c r="AG34" s="9" t="n">
        <v>33.56</v>
      </c>
      <c r="AH34" s="9" t="n">
        <v>82.506</v>
      </c>
      <c r="AI34" s="9" t="n">
        <v>2.128</v>
      </c>
      <c r="AJ34" s="9" t="n">
        <v>6.346</v>
      </c>
      <c r="AK34" s="9" t="n">
        <v>18.772</v>
      </c>
      <c r="AL34" s="9" t="n">
        <v>77.706</v>
      </c>
      <c r="AM34" s="9" t="n">
        <v>0.91</v>
      </c>
      <c r="AN34" s="9" t="n">
        <v>97.5624</v>
      </c>
      <c r="AO34" s="9" t="n">
        <v>97.515</v>
      </c>
      <c r="AP34" s="9" t="n">
        <v>97.5303</v>
      </c>
      <c r="AQ34" s="9" t="n">
        <v>5.36398</v>
      </c>
      <c r="AR34" s="9" t="n">
        <v>4.98003</v>
      </c>
      <c r="AS34" s="9" t="n">
        <v>6.40936</v>
      </c>
      <c r="AT34" s="9" t="n">
        <v>0.0105456</v>
      </c>
      <c r="AU34" s="9" t="n">
        <v>38.7074</v>
      </c>
      <c r="AV34" s="9" t="n">
        <v>0.1514</v>
      </c>
      <c r="AW34" s="9" t="n">
        <v>1316.42</v>
      </c>
      <c r="AX34" s="9" t="n">
        <v>1386.05</v>
      </c>
      <c r="AY34" s="9" t="n">
        <v>1336.53</v>
      </c>
    </row>
    <row r="35" customFormat="false" ht="15" hidden="false" customHeight="false" outlineLevel="0" collapsed="false">
      <c r="A35" s="9" t="s">
        <v>79</v>
      </c>
      <c r="B35" s="9" t="s">
        <v>74</v>
      </c>
      <c r="C35" s="9" t="n">
        <v>1</v>
      </c>
      <c r="D35" s="9" t="n">
        <v>1</v>
      </c>
      <c r="E35" s="9" t="n">
        <v>0</v>
      </c>
      <c r="F35" s="9" t="n">
        <v>0</v>
      </c>
      <c r="G35" s="9" t="n">
        <v>1</v>
      </c>
      <c r="H35" s="9" t="n">
        <v>1</v>
      </c>
      <c r="I35" s="9" t="n">
        <v>1</v>
      </c>
      <c r="J35" s="9" t="n">
        <v>1</v>
      </c>
      <c r="K35" s="9" t="n">
        <v>1</v>
      </c>
      <c r="L35" s="9" t="n">
        <v>1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6.15944</v>
      </c>
      <c r="R35" s="9" t="s">
        <v>75</v>
      </c>
      <c r="S35" s="9" t="s">
        <v>75</v>
      </c>
      <c r="T35" s="9" t="n">
        <v>59.4059</v>
      </c>
      <c r="U35" s="9" t="n">
        <v>12.4311</v>
      </c>
      <c r="V35" s="9" t="n">
        <v>944</v>
      </c>
      <c r="W35" s="9" t="n">
        <v>94</v>
      </c>
      <c r="X35" s="9" t="s">
        <v>75</v>
      </c>
      <c r="Y35" s="9" t="s">
        <v>75</v>
      </c>
      <c r="Z35" s="9" t="s">
        <v>75</v>
      </c>
      <c r="AA35" s="9" t="n">
        <v>3.56802</v>
      </c>
      <c r="AB35" s="9" t="s">
        <v>75</v>
      </c>
      <c r="AC35" s="9" t="s">
        <v>75</v>
      </c>
      <c r="AD35" s="9" t="s">
        <v>75</v>
      </c>
      <c r="AE35" s="9" t="s">
        <v>75</v>
      </c>
      <c r="AF35" s="9" t="s">
        <v>75</v>
      </c>
      <c r="AG35" s="9" t="s">
        <v>75</v>
      </c>
      <c r="AH35" s="9" t="s">
        <v>75</v>
      </c>
      <c r="AI35" s="9" t="s">
        <v>75</v>
      </c>
      <c r="AJ35" s="9" t="s">
        <v>75</v>
      </c>
      <c r="AK35" s="9" t="s">
        <v>75</v>
      </c>
      <c r="AL35" s="9" t="s">
        <v>75</v>
      </c>
      <c r="AM35" s="9" t="s">
        <v>75</v>
      </c>
      <c r="AN35" s="9" t="n">
        <v>3.55612</v>
      </c>
      <c r="AO35" s="9" t="s">
        <v>75</v>
      </c>
      <c r="AP35" s="9" t="s">
        <v>75</v>
      </c>
      <c r="AQ35" s="9" t="n">
        <v>4.56615</v>
      </c>
      <c r="AR35" s="9" t="s">
        <v>75</v>
      </c>
      <c r="AS35" s="9" t="s">
        <v>75</v>
      </c>
      <c r="AT35" s="9" t="n">
        <v>0.00757852</v>
      </c>
      <c r="AU35" s="9" t="s">
        <v>75</v>
      </c>
      <c r="AV35" s="9" t="s">
        <v>75</v>
      </c>
      <c r="AW35" s="9" t="n">
        <v>10.7332</v>
      </c>
      <c r="AX35" s="9" t="s">
        <v>75</v>
      </c>
      <c r="AY35" s="9" t="s">
        <v>75</v>
      </c>
    </row>
    <row r="36" customFormat="false" ht="15" hidden="false" customHeight="false" outlineLevel="0" collapsed="false">
      <c r="A36" s="9" t="s">
        <v>79</v>
      </c>
      <c r="B36" s="9" t="s">
        <v>74</v>
      </c>
      <c r="C36" s="9" t="n">
        <v>2</v>
      </c>
      <c r="D36" s="9" t="n">
        <v>1</v>
      </c>
      <c r="E36" s="9" t="n">
        <v>0</v>
      </c>
      <c r="F36" s="9" t="n">
        <v>0</v>
      </c>
      <c r="G36" s="9" t="n">
        <v>1</v>
      </c>
      <c r="H36" s="9" t="n">
        <v>1</v>
      </c>
      <c r="I36" s="9" t="n">
        <v>1</v>
      </c>
      <c r="J36" s="9" t="n">
        <v>1</v>
      </c>
      <c r="K36" s="9" t="n">
        <v>1</v>
      </c>
      <c r="L36" s="9" t="n">
        <v>1</v>
      </c>
      <c r="M36" s="9" t="n">
        <v>0</v>
      </c>
      <c r="N36" s="9" t="n">
        <v>0</v>
      </c>
      <c r="O36" s="9" t="n">
        <v>0</v>
      </c>
      <c r="P36" s="9" t="n">
        <v>0</v>
      </c>
      <c r="Q36" s="9" t="n">
        <v>5.99142</v>
      </c>
      <c r="R36" s="9" t="s">
        <v>75</v>
      </c>
      <c r="S36" s="9" t="s">
        <v>75</v>
      </c>
      <c r="T36" s="9" t="n">
        <v>59.9174</v>
      </c>
      <c r="U36" s="9" t="n">
        <v>11.3561</v>
      </c>
      <c r="V36" s="9" t="n">
        <v>909</v>
      </c>
      <c r="W36" s="9" t="n">
        <v>83</v>
      </c>
      <c r="X36" s="9" t="s">
        <v>75</v>
      </c>
      <c r="Y36" s="9" t="s">
        <v>75</v>
      </c>
      <c r="Z36" s="9" t="s">
        <v>75</v>
      </c>
      <c r="AA36" s="9" t="n">
        <v>3.60851</v>
      </c>
      <c r="AB36" s="9" t="s">
        <v>75</v>
      </c>
      <c r="AC36" s="9" t="s">
        <v>75</v>
      </c>
      <c r="AD36" s="9" t="s">
        <v>75</v>
      </c>
      <c r="AE36" s="9" t="s">
        <v>75</v>
      </c>
      <c r="AF36" s="9" t="s">
        <v>75</v>
      </c>
      <c r="AG36" s="9" t="s">
        <v>75</v>
      </c>
      <c r="AH36" s="9" t="s">
        <v>75</v>
      </c>
      <c r="AI36" s="9" t="s">
        <v>75</v>
      </c>
      <c r="AJ36" s="9" t="s">
        <v>75</v>
      </c>
      <c r="AK36" s="9" t="s">
        <v>75</v>
      </c>
      <c r="AL36" s="9" t="s">
        <v>75</v>
      </c>
      <c r="AM36" s="9" t="s">
        <v>75</v>
      </c>
      <c r="AN36" s="9" t="n">
        <v>3.59658</v>
      </c>
      <c r="AO36" s="9" t="s">
        <v>75</v>
      </c>
      <c r="AP36" s="9" t="s">
        <v>75</v>
      </c>
      <c r="AQ36" s="9" t="n">
        <v>4.62475</v>
      </c>
      <c r="AR36" s="9" t="s">
        <v>75</v>
      </c>
      <c r="AS36" s="9" t="s">
        <v>75</v>
      </c>
      <c r="AT36" s="9" t="n">
        <v>0.00686605</v>
      </c>
      <c r="AU36" s="9" t="s">
        <v>75</v>
      </c>
      <c r="AV36" s="9" t="s">
        <v>75</v>
      </c>
      <c r="AW36" s="9" t="n">
        <v>10.623</v>
      </c>
      <c r="AX36" s="9" t="s">
        <v>75</v>
      </c>
      <c r="AY36" s="9" t="s">
        <v>75</v>
      </c>
    </row>
    <row r="37" customFormat="false" ht="15" hidden="false" customHeight="false" outlineLevel="0" collapsed="false">
      <c r="A37" s="9" t="s">
        <v>79</v>
      </c>
      <c r="B37" s="9" t="s">
        <v>74</v>
      </c>
      <c r="C37" s="9" t="n">
        <v>3</v>
      </c>
      <c r="D37" s="9" t="n">
        <v>1</v>
      </c>
      <c r="E37" s="9" t="n">
        <v>0</v>
      </c>
      <c r="F37" s="9" t="n">
        <v>0</v>
      </c>
      <c r="G37" s="9" t="n">
        <v>1</v>
      </c>
      <c r="H37" s="9" t="n">
        <v>1</v>
      </c>
      <c r="I37" s="9" t="n">
        <v>1</v>
      </c>
      <c r="J37" s="9" t="n">
        <v>1</v>
      </c>
      <c r="K37" s="9" t="n">
        <v>1</v>
      </c>
      <c r="L37" s="9" t="n">
        <v>1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6.08704</v>
      </c>
      <c r="R37" s="9" t="s">
        <v>75</v>
      </c>
      <c r="S37" s="9" t="s">
        <v>75</v>
      </c>
      <c r="T37" s="9" t="n">
        <v>59.8177</v>
      </c>
      <c r="U37" s="9" t="n">
        <v>11.1108</v>
      </c>
      <c r="V37" s="9" t="n">
        <v>807</v>
      </c>
      <c r="W37" s="9" t="n">
        <v>64</v>
      </c>
      <c r="X37" s="9" t="s">
        <v>75</v>
      </c>
      <c r="Y37" s="9" t="s">
        <v>75</v>
      </c>
      <c r="Z37" s="9" t="s">
        <v>75</v>
      </c>
      <c r="AA37" s="9" t="n">
        <v>3.59465</v>
      </c>
      <c r="AB37" s="9" t="s">
        <v>75</v>
      </c>
      <c r="AC37" s="9" t="s">
        <v>75</v>
      </c>
      <c r="AD37" s="9" t="s">
        <v>75</v>
      </c>
      <c r="AE37" s="9" t="s">
        <v>75</v>
      </c>
      <c r="AF37" s="9" t="s">
        <v>75</v>
      </c>
      <c r="AG37" s="9" t="s">
        <v>75</v>
      </c>
      <c r="AH37" s="9" t="s">
        <v>75</v>
      </c>
      <c r="AI37" s="9" t="s">
        <v>75</v>
      </c>
      <c r="AJ37" s="9" t="s">
        <v>75</v>
      </c>
      <c r="AK37" s="9" t="s">
        <v>75</v>
      </c>
      <c r="AL37" s="9" t="s">
        <v>75</v>
      </c>
      <c r="AM37" s="9" t="s">
        <v>75</v>
      </c>
      <c r="AN37" s="9" t="n">
        <v>3.58267</v>
      </c>
      <c r="AO37" s="9" t="s">
        <v>75</v>
      </c>
      <c r="AP37" s="9" t="s">
        <v>75</v>
      </c>
      <c r="AQ37" s="9" t="n">
        <v>4.60567</v>
      </c>
      <c r="AR37" s="9" t="s">
        <v>75</v>
      </c>
      <c r="AS37" s="9" t="s">
        <v>75</v>
      </c>
      <c r="AT37" s="9" t="n">
        <v>0.00847092</v>
      </c>
      <c r="AU37" s="9" t="s">
        <v>75</v>
      </c>
      <c r="AV37" s="9" t="s">
        <v>75</v>
      </c>
      <c r="AW37" s="9" t="n">
        <v>10.7012</v>
      </c>
      <c r="AX37" s="9" t="s">
        <v>75</v>
      </c>
      <c r="AY37" s="9" t="s">
        <v>75</v>
      </c>
    </row>
    <row r="38" customFormat="false" ht="15" hidden="false" customHeight="false" outlineLevel="0" collapsed="false">
      <c r="A38" s="9" t="s">
        <v>79</v>
      </c>
      <c r="B38" s="9" t="s">
        <v>74</v>
      </c>
      <c r="C38" s="9" t="n">
        <v>13</v>
      </c>
      <c r="D38" s="9" t="n">
        <v>1</v>
      </c>
      <c r="E38" s="9" t="n">
        <v>0</v>
      </c>
      <c r="F38" s="9" t="n">
        <v>0</v>
      </c>
      <c r="G38" s="9" t="n">
        <v>1</v>
      </c>
      <c r="H38" s="9" t="n">
        <v>1</v>
      </c>
      <c r="I38" s="9" t="n">
        <v>1</v>
      </c>
      <c r="J38" s="9" t="n">
        <v>1</v>
      </c>
      <c r="K38" s="9" t="n">
        <v>1</v>
      </c>
      <c r="L38" s="9" t="n">
        <v>1</v>
      </c>
      <c r="M38" s="9" t="n">
        <v>0</v>
      </c>
      <c r="N38" s="9" t="n">
        <v>0</v>
      </c>
      <c r="O38" s="9" t="n">
        <v>0</v>
      </c>
      <c r="P38" s="9" t="n">
        <v>0</v>
      </c>
      <c r="Q38" s="9" t="n">
        <v>5.9686</v>
      </c>
      <c r="R38" s="9" t="s">
        <v>75</v>
      </c>
      <c r="S38" s="9" t="s">
        <v>75</v>
      </c>
      <c r="T38" s="9" t="n">
        <v>58.8194</v>
      </c>
      <c r="U38" s="9" t="n">
        <v>19.4505</v>
      </c>
      <c r="V38" s="9" t="n">
        <v>903</v>
      </c>
      <c r="W38" s="9" t="n">
        <v>364</v>
      </c>
      <c r="X38" s="9" t="s">
        <v>75</v>
      </c>
      <c r="Y38" s="9" t="s">
        <v>75</v>
      </c>
      <c r="Z38" s="9" t="s">
        <v>75</v>
      </c>
      <c r="AA38" s="9" t="n">
        <v>3.59814</v>
      </c>
      <c r="AB38" s="9" t="s">
        <v>75</v>
      </c>
      <c r="AC38" s="9" t="s">
        <v>75</v>
      </c>
      <c r="AD38" s="9" t="s">
        <v>75</v>
      </c>
      <c r="AE38" s="9" t="s">
        <v>75</v>
      </c>
      <c r="AF38" s="9" t="s">
        <v>75</v>
      </c>
      <c r="AG38" s="9" t="s">
        <v>75</v>
      </c>
      <c r="AH38" s="9" t="s">
        <v>75</v>
      </c>
      <c r="AI38" s="9" t="s">
        <v>75</v>
      </c>
      <c r="AJ38" s="9" t="s">
        <v>75</v>
      </c>
      <c r="AK38" s="9" t="s">
        <v>75</v>
      </c>
      <c r="AL38" s="9" t="s">
        <v>75</v>
      </c>
      <c r="AM38" s="9" t="s">
        <v>75</v>
      </c>
      <c r="AN38" s="9" t="n">
        <v>3.58596</v>
      </c>
      <c r="AO38" s="9" t="s">
        <v>75</v>
      </c>
      <c r="AP38" s="9" t="s">
        <v>75</v>
      </c>
      <c r="AQ38" s="9" t="n">
        <v>4.60325</v>
      </c>
      <c r="AR38" s="9" t="s">
        <v>75</v>
      </c>
      <c r="AS38" s="9" t="s">
        <v>75</v>
      </c>
      <c r="AT38" s="9" t="n">
        <v>0.00801819</v>
      </c>
      <c r="AU38" s="9" t="s">
        <v>75</v>
      </c>
      <c r="AV38" s="9" t="s">
        <v>75</v>
      </c>
      <c r="AW38" s="9" t="n">
        <v>10.5799</v>
      </c>
      <c r="AX38" s="9" t="s">
        <v>75</v>
      </c>
      <c r="AY38" s="9" t="s">
        <v>75</v>
      </c>
    </row>
    <row r="39" customFormat="false" ht="15" hidden="false" customHeight="false" outlineLevel="0" collapsed="false">
      <c r="A39" s="9" t="s">
        <v>79</v>
      </c>
      <c r="B39" s="9" t="s">
        <v>74</v>
      </c>
      <c r="C39" s="9" t="n">
        <v>14</v>
      </c>
      <c r="D39" s="9" t="n">
        <v>1</v>
      </c>
      <c r="E39" s="9" t="n">
        <v>0</v>
      </c>
      <c r="F39" s="9" t="n">
        <v>0</v>
      </c>
      <c r="G39" s="9" t="n">
        <v>1</v>
      </c>
      <c r="H39" s="9" t="n">
        <v>1</v>
      </c>
      <c r="I39" s="9" t="n">
        <v>1</v>
      </c>
      <c r="J39" s="9" t="n">
        <v>1</v>
      </c>
      <c r="K39" s="9" t="n">
        <v>1</v>
      </c>
      <c r="L39" s="9" t="n">
        <v>1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6.03226</v>
      </c>
      <c r="R39" s="9" t="s">
        <v>75</v>
      </c>
      <c r="S39" s="9" t="s">
        <v>75</v>
      </c>
      <c r="T39" s="9" t="n">
        <v>59.8361</v>
      </c>
      <c r="U39" s="9" t="n">
        <v>18.0923</v>
      </c>
      <c r="V39" s="9" t="n">
        <v>886</v>
      </c>
      <c r="W39" s="9" t="n">
        <v>311</v>
      </c>
      <c r="X39" s="9" t="s">
        <v>75</v>
      </c>
      <c r="Y39" s="9" t="s">
        <v>75</v>
      </c>
      <c r="Z39" s="9" t="s">
        <v>75</v>
      </c>
      <c r="AA39" s="9" t="n">
        <v>3.65778</v>
      </c>
      <c r="AB39" s="9" t="s">
        <v>75</v>
      </c>
      <c r="AC39" s="9" t="s">
        <v>75</v>
      </c>
      <c r="AD39" s="9" t="s">
        <v>75</v>
      </c>
      <c r="AE39" s="9" t="s">
        <v>75</v>
      </c>
      <c r="AF39" s="9" t="s">
        <v>75</v>
      </c>
      <c r="AG39" s="9" t="s">
        <v>75</v>
      </c>
      <c r="AH39" s="9" t="s">
        <v>75</v>
      </c>
      <c r="AI39" s="9" t="s">
        <v>75</v>
      </c>
      <c r="AJ39" s="9" t="s">
        <v>75</v>
      </c>
      <c r="AK39" s="9" t="s">
        <v>75</v>
      </c>
      <c r="AL39" s="9" t="s">
        <v>75</v>
      </c>
      <c r="AM39" s="9" t="s">
        <v>75</v>
      </c>
      <c r="AN39" s="9" t="n">
        <v>3.6415</v>
      </c>
      <c r="AO39" s="9" t="s">
        <v>75</v>
      </c>
      <c r="AP39" s="9" t="s">
        <v>75</v>
      </c>
      <c r="AQ39" s="9" t="n">
        <v>4.68847</v>
      </c>
      <c r="AR39" s="9" t="s">
        <v>75</v>
      </c>
      <c r="AS39" s="9" t="s">
        <v>75</v>
      </c>
      <c r="AT39" s="9" t="n">
        <v>0.00839583</v>
      </c>
      <c r="AU39" s="9" t="s">
        <v>75</v>
      </c>
      <c r="AV39" s="9" t="s">
        <v>75</v>
      </c>
      <c r="AW39" s="9" t="n">
        <v>10.7291</v>
      </c>
      <c r="AX39" s="9" t="s">
        <v>75</v>
      </c>
      <c r="AY39" s="9" t="s">
        <v>75</v>
      </c>
    </row>
    <row r="40" customFormat="false" ht="15" hidden="false" customHeight="false" outlineLevel="0" collapsed="false">
      <c r="A40" s="9" t="s">
        <v>79</v>
      </c>
      <c r="B40" s="9" t="s">
        <v>74</v>
      </c>
      <c r="C40" s="9" t="n">
        <v>15</v>
      </c>
      <c r="D40" s="9" t="n">
        <v>1</v>
      </c>
      <c r="E40" s="9" t="n">
        <v>0</v>
      </c>
      <c r="F40" s="9" t="n">
        <v>0</v>
      </c>
      <c r="G40" s="9" t="n">
        <v>1</v>
      </c>
      <c r="H40" s="9" t="n">
        <v>1</v>
      </c>
      <c r="I40" s="9" t="n">
        <v>1</v>
      </c>
      <c r="J40" s="9" t="n">
        <v>1</v>
      </c>
      <c r="K40" s="9" t="n">
        <v>1</v>
      </c>
      <c r="L40" s="9" t="n">
        <v>1</v>
      </c>
      <c r="M40" s="9" t="n">
        <v>0</v>
      </c>
      <c r="N40" s="9" t="n">
        <v>0</v>
      </c>
      <c r="O40" s="9" t="n">
        <v>0</v>
      </c>
      <c r="P40" s="9" t="n">
        <v>0</v>
      </c>
      <c r="Q40" s="9" t="n">
        <v>5.99901</v>
      </c>
      <c r="R40" s="9" t="s">
        <v>75</v>
      </c>
      <c r="S40" s="9" t="s">
        <v>75</v>
      </c>
      <c r="T40" s="9" t="n">
        <v>59.7637</v>
      </c>
      <c r="U40" s="9" t="n">
        <v>18.0828</v>
      </c>
      <c r="V40" s="9" t="n">
        <v>782</v>
      </c>
      <c r="W40" s="9" t="n">
        <v>138</v>
      </c>
      <c r="X40" s="9" t="s">
        <v>75</v>
      </c>
      <c r="Y40" s="9" t="s">
        <v>75</v>
      </c>
      <c r="Z40" s="9" t="s">
        <v>75</v>
      </c>
      <c r="AA40" s="9" t="n">
        <v>3.63195</v>
      </c>
      <c r="AB40" s="9" t="s">
        <v>75</v>
      </c>
      <c r="AC40" s="9" t="s">
        <v>75</v>
      </c>
      <c r="AD40" s="9" t="s">
        <v>75</v>
      </c>
      <c r="AE40" s="9" t="s">
        <v>75</v>
      </c>
      <c r="AF40" s="9" t="s">
        <v>75</v>
      </c>
      <c r="AG40" s="9" t="s">
        <v>75</v>
      </c>
      <c r="AH40" s="9" t="s">
        <v>75</v>
      </c>
      <c r="AI40" s="9" t="s">
        <v>75</v>
      </c>
      <c r="AJ40" s="9" t="s">
        <v>75</v>
      </c>
      <c r="AK40" s="9" t="s">
        <v>75</v>
      </c>
      <c r="AL40" s="9" t="s">
        <v>75</v>
      </c>
      <c r="AM40" s="9" t="s">
        <v>75</v>
      </c>
      <c r="AN40" s="9" t="n">
        <v>3.61989</v>
      </c>
      <c r="AO40" s="9" t="s">
        <v>75</v>
      </c>
      <c r="AP40" s="9" t="s">
        <v>75</v>
      </c>
      <c r="AQ40" s="9" t="n">
        <v>4.65564</v>
      </c>
      <c r="AR40" s="9" t="s">
        <v>75</v>
      </c>
      <c r="AS40" s="9" t="s">
        <v>75</v>
      </c>
      <c r="AT40" s="9" t="n">
        <v>0.00733764</v>
      </c>
      <c r="AU40" s="9" t="s">
        <v>75</v>
      </c>
      <c r="AV40" s="9" t="s">
        <v>75</v>
      </c>
      <c r="AW40" s="9" t="n">
        <v>10.662</v>
      </c>
      <c r="AX40" s="9" t="s">
        <v>75</v>
      </c>
      <c r="AY40" s="9" t="s">
        <v>75</v>
      </c>
    </row>
    <row r="41" customFormat="false" ht="15" hidden="false" customHeight="false" outlineLevel="0" collapsed="false">
      <c r="A41" s="9" t="s">
        <v>79</v>
      </c>
      <c r="B41" s="9" t="s">
        <v>74</v>
      </c>
      <c r="C41" s="9" t="n">
        <v>16</v>
      </c>
      <c r="D41" s="9" t="n">
        <v>1</v>
      </c>
      <c r="E41" s="9" t="n">
        <v>0</v>
      </c>
      <c r="F41" s="9" t="n">
        <v>0</v>
      </c>
      <c r="G41" s="9" t="n">
        <v>1</v>
      </c>
      <c r="H41" s="9" t="n">
        <v>1</v>
      </c>
      <c r="I41" s="9" t="n">
        <v>1</v>
      </c>
      <c r="J41" s="9" t="n">
        <v>1</v>
      </c>
      <c r="K41" s="9" t="n">
        <v>1</v>
      </c>
      <c r="L41" s="9" t="n">
        <v>1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6.11283</v>
      </c>
      <c r="R41" s="9" t="s">
        <v>75</v>
      </c>
      <c r="S41" s="9" t="s">
        <v>75</v>
      </c>
      <c r="T41" s="9" t="n">
        <v>60</v>
      </c>
      <c r="U41" s="9" t="n">
        <v>18.0857</v>
      </c>
      <c r="V41" s="9" t="n">
        <v>917</v>
      </c>
      <c r="W41" s="9" t="n">
        <v>148</v>
      </c>
      <c r="X41" s="9" t="s">
        <v>75</v>
      </c>
      <c r="Y41" s="9" t="s">
        <v>75</v>
      </c>
      <c r="Z41" s="9" t="s">
        <v>75</v>
      </c>
      <c r="AA41" s="9" t="n">
        <v>3.57962</v>
      </c>
      <c r="AB41" s="9" t="s">
        <v>75</v>
      </c>
      <c r="AC41" s="9" t="s">
        <v>75</v>
      </c>
      <c r="AD41" s="9" t="s">
        <v>75</v>
      </c>
      <c r="AE41" s="9" t="s">
        <v>75</v>
      </c>
      <c r="AF41" s="9" t="s">
        <v>75</v>
      </c>
      <c r="AG41" s="9" t="s">
        <v>75</v>
      </c>
      <c r="AH41" s="9" t="s">
        <v>75</v>
      </c>
      <c r="AI41" s="9" t="s">
        <v>75</v>
      </c>
      <c r="AJ41" s="9" t="s">
        <v>75</v>
      </c>
      <c r="AK41" s="9" t="s">
        <v>75</v>
      </c>
      <c r="AL41" s="9" t="s">
        <v>75</v>
      </c>
      <c r="AM41" s="9" t="s">
        <v>75</v>
      </c>
      <c r="AN41" s="9" t="n">
        <v>3.56761</v>
      </c>
      <c r="AO41" s="9" t="s">
        <v>75</v>
      </c>
      <c r="AP41" s="9" t="s">
        <v>75</v>
      </c>
      <c r="AQ41" s="9" t="n">
        <v>4.58139</v>
      </c>
      <c r="AR41" s="9" t="s">
        <v>75</v>
      </c>
      <c r="AS41" s="9" t="s">
        <v>75</v>
      </c>
      <c r="AT41" s="9" t="n">
        <v>0.00827938</v>
      </c>
      <c r="AU41" s="9" t="s">
        <v>75</v>
      </c>
      <c r="AV41" s="9" t="s">
        <v>75</v>
      </c>
      <c r="AW41" s="9" t="n">
        <v>10.7025</v>
      </c>
      <c r="AX41" s="9" t="s">
        <v>75</v>
      </c>
      <c r="AY41" s="9" t="s">
        <v>75</v>
      </c>
    </row>
    <row r="42" customFormat="false" ht="15" hidden="false" customHeight="false" outlineLevel="0" collapsed="false">
      <c r="A42" s="9" t="s">
        <v>79</v>
      </c>
      <c r="B42" s="9" t="s">
        <v>74</v>
      </c>
      <c r="C42" s="9" t="n">
        <v>17</v>
      </c>
      <c r="D42" s="9" t="n">
        <v>1</v>
      </c>
      <c r="E42" s="9" t="n">
        <v>0</v>
      </c>
      <c r="F42" s="9" t="n">
        <v>0</v>
      </c>
      <c r="G42" s="9" t="n">
        <v>1</v>
      </c>
      <c r="H42" s="9" t="n">
        <v>1</v>
      </c>
      <c r="I42" s="9" t="n">
        <v>1</v>
      </c>
      <c r="J42" s="9" t="n">
        <v>1</v>
      </c>
      <c r="K42" s="9" t="n">
        <v>1</v>
      </c>
      <c r="L42" s="9" t="n">
        <v>1</v>
      </c>
      <c r="M42" s="9" t="n">
        <v>0</v>
      </c>
      <c r="N42" s="9" t="n">
        <v>0</v>
      </c>
      <c r="O42" s="9" t="n">
        <v>0</v>
      </c>
      <c r="P42" s="9" t="n">
        <v>0</v>
      </c>
      <c r="Q42" s="9" t="n">
        <v>6.10069</v>
      </c>
      <c r="R42" s="9" t="s">
        <v>75</v>
      </c>
      <c r="S42" s="9" t="s">
        <v>75</v>
      </c>
      <c r="T42" s="9" t="n">
        <v>60.3981</v>
      </c>
      <c r="U42" s="9" t="n">
        <v>18.1005</v>
      </c>
      <c r="V42" s="9" t="n">
        <v>824</v>
      </c>
      <c r="W42" s="9" t="n">
        <v>281</v>
      </c>
      <c r="X42" s="9" t="s">
        <v>75</v>
      </c>
      <c r="Y42" s="9" t="s">
        <v>75</v>
      </c>
      <c r="Z42" s="9" t="s">
        <v>75</v>
      </c>
      <c r="AA42" s="9" t="n">
        <v>3.65599</v>
      </c>
      <c r="AB42" s="9" t="s">
        <v>75</v>
      </c>
      <c r="AC42" s="9" t="s">
        <v>75</v>
      </c>
      <c r="AD42" s="9" t="s">
        <v>75</v>
      </c>
      <c r="AE42" s="9" t="s">
        <v>75</v>
      </c>
      <c r="AF42" s="9" t="s">
        <v>75</v>
      </c>
      <c r="AG42" s="9" t="s">
        <v>75</v>
      </c>
      <c r="AH42" s="9" t="s">
        <v>75</v>
      </c>
      <c r="AI42" s="9" t="s">
        <v>75</v>
      </c>
      <c r="AJ42" s="9" t="s">
        <v>75</v>
      </c>
      <c r="AK42" s="9" t="s">
        <v>75</v>
      </c>
      <c r="AL42" s="9" t="s">
        <v>75</v>
      </c>
      <c r="AM42" s="9" t="s">
        <v>75</v>
      </c>
      <c r="AN42" s="9" t="n">
        <v>3.64354</v>
      </c>
      <c r="AO42" s="9" t="s">
        <v>75</v>
      </c>
      <c r="AP42" s="9" t="s">
        <v>75</v>
      </c>
      <c r="AQ42" s="9" t="n">
        <v>4.67937</v>
      </c>
      <c r="AR42" s="9" t="s">
        <v>75</v>
      </c>
      <c r="AS42" s="9" t="s">
        <v>75</v>
      </c>
      <c r="AT42" s="9" t="n">
        <v>0.00809872</v>
      </c>
      <c r="AU42" s="9" t="s">
        <v>75</v>
      </c>
      <c r="AV42" s="9" t="s">
        <v>75</v>
      </c>
      <c r="AW42" s="9" t="n">
        <v>10.7882</v>
      </c>
      <c r="AX42" s="9" t="s">
        <v>75</v>
      </c>
      <c r="AY42" s="9" t="s">
        <v>75</v>
      </c>
    </row>
    <row r="43" customFormat="false" ht="15" hidden="false" customHeight="false" outlineLevel="0" collapsed="false">
      <c r="A43" s="9" t="s">
        <v>79</v>
      </c>
      <c r="B43" s="9" t="s">
        <v>74</v>
      </c>
      <c r="C43" s="9" t="n">
        <v>18</v>
      </c>
      <c r="D43" s="9" t="n">
        <v>1</v>
      </c>
      <c r="E43" s="9" t="n">
        <v>0</v>
      </c>
      <c r="F43" s="9" t="n">
        <v>0</v>
      </c>
      <c r="G43" s="9" t="n">
        <v>1</v>
      </c>
      <c r="H43" s="9" t="n">
        <v>1</v>
      </c>
      <c r="I43" s="9" t="n">
        <v>1</v>
      </c>
      <c r="J43" s="9" t="n">
        <v>1</v>
      </c>
      <c r="K43" s="9" t="n">
        <v>1</v>
      </c>
      <c r="L43" s="9" t="n">
        <v>1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5.95734</v>
      </c>
      <c r="R43" s="9" t="s">
        <v>75</v>
      </c>
      <c r="S43" s="9" t="s">
        <v>75</v>
      </c>
      <c r="T43" s="9" t="n">
        <v>60.3448</v>
      </c>
      <c r="U43" s="9" t="n">
        <v>18.1317</v>
      </c>
      <c r="V43" s="9" t="n">
        <v>1004</v>
      </c>
      <c r="W43" s="9" t="n">
        <v>115</v>
      </c>
      <c r="X43" s="9" t="s">
        <v>75</v>
      </c>
      <c r="Y43" s="9" t="s">
        <v>75</v>
      </c>
      <c r="Z43" s="9" t="s">
        <v>75</v>
      </c>
      <c r="AA43" s="9" t="n">
        <v>3.61953</v>
      </c>
      <c r="AB43" s="9" t="s">
        <v>75</v>
      </c>
      <c r="AC43" s="9" t="s">
        <v>75</v>
      </c>
      <c r="AD43" s="9" t="s">
        <v>75</v>
      </c>
      <c r="AE43" s="9" t="s">
        <v>75</v>
      </c>
      <c r="AF43" s="9" t="s">
        <v>75</v>
      </c>
      <c r="AG43" s="9" t="s">
        <v>75</v>
      </c>
      <c r="AH43" s="9" t="s">
        <v>75</v>
      </c>
      <c r="AI43" s="9" t="s">
        <v>75</v>
      </c>
      <c r="AJ43" s="9" t="s">
        <v>75</v>
      </c>
      <c r="AK43" s="9" t="s">
        <v>75</v>
      </c>
      <c r="AL43" s="9" t="s">
        <v>75</v>
      </c>
      <c r="AM43" s="9" t="s">
        <v>75</v>
      </c>
      <c r="AN43" s="9" t="n">
        <v>3.60713</v>
      </c>
      <c r="AO43" s="9" t="s">
        <v>75</v>
      </c>
      <c r="AP43" s="9" t="s">
        <v>75</v>
      </c>
      <c r="AQ43" s="9" t="n">
        <v>4.64192</v>
      </c>
      <c r="AR43" s="9" t="s">
        <v>75</v>
      </c>
      <c r="AS43" s="9" t="s">
        <v>75</v>
      </c>
      <c r="AT43" s="9" t="n">
        <v>0.00731733</v>
      </c>
      <c r="AU43" s="9" t="s">
        <v>75</v>
      </c>
      <c r="AV43" s="9" t="s">
        <v>75</v>
      </c>
      <c r="AW43" s="9" t="n">
        <v>10.6066</v>
      </c>
      <c r="AX43" s="9" t="s">
        <v>75</v>
      </c>
      <c r="AY43" s="9" t="s">
        <v>75</v>
      </c>
    </row>
    <row r="44" customFormat="false" ht="15" hidden="false" customHeight="false" outlineLevel="0" collapsed="false">
      <c r="A44" s="9" t="s">
        <v>79</v>
      </c>
      <c r="B44" s="9" t="s">
        <v>74</v>
      </c>
      <c r="C44" s="9" t="n">
        <v>19</v>
      </c>
      <c r="D44" s="9" t="n">
        <v>1</v>
      </c>
      <c r="E44" s="9" t="n">
        <v>0</v>
      </c>
      <c r="F44" s="9" t="n">
        <v>0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0</v>
      </c>
      <c r="N44" s="9" t="n">
        <v>0</v>
      </c>
      <c r="O44" s="9" t="n">
        <v>0</v>
      </c>
      <c r="P44" s="9" t="n">
        <v>0</v>
      </c>
      <c r="Q44" s="9" t="n">
        <v>5.97697</v>
      </c>
      <c r="R44" s="9" t="s">
        <v>75</v>
      </c>
      <c r="S44" s="9" t="s">
        <v>75</v>
      </c>
      <c r="T44" s="9" t="n">
        <v>59.2902</v>
      </c>
      <c r="U44" s="9" t="n">
        <v>18.0301</v>
      </c>
      <c r="V44" s="9" t="n">
        <v>808</v>
      </c>
      <c r="W44" s="9" t="n">
        <v>217</v>
      </c>
      <c r="X44" s="9" t="s">
        <v>75</v>
      </c>
      <c r="Y44" s="9" t="s">
        <v>75</v>
      </c>
      <c r="Z44" s="9" t="s">
        <v>75</v>
      </c>
      <c r="AA44" s="9" t="n">
        <v>3.61968</v>
      </c>
      <c r="AB44" s="9" t="s">
        <v>75</v>
      </c>
      <c r="AC44" s="9" t="s">
        <v>75</v>
      </c>
      <c r="AD44" s="9" t="s">
        <v>75</v>
      </c>
      <c r="AE44" s="9" t="s">
        <v>75</v>
      </c>
      <c r="AF44" s="9" t="s">
        <v>75</v>
      </c>
      <c r="AG44" s="9" t="s">
        <v>75</v>
      </c>
      <c r="AH44" s="9" t="s">
        <v>75</v>
      </c>
      <c r="AI44" s="9" t="s">
        <v>75</v>
      </c>
      <c r="AJ44" s="9" t="s">
        <v>75</v>
      </c>
      <c r="AK44" s="9" t="s">
        <v>75</v>
      </c>
      <c r="AL44" s="9" t="s">
        <v>75</v>
      </c>
      <c r="AM44" s="9" t="s">
        <v>75</v>
      </c>
      <c r="AN44" s="9" t="n">
        <v>3.60771</v>
      </c>
      <c r="AO44" s="9" t="s">
        <v>75</v>
      </c>
      <c r="AP44" s="9" t="s">
        <v>75</v>
      </c>
      <c r="AQ44" s="9" t="n">
        <v>4.63318</v>
      </c>
      <c r="AR44" s="9" t="s">
        <v>75</v>
      </c>
      <c r="AS44" s="9" t="s">
        <v>75</v>
      </c>
      <c r="AT44" s="9" t="n">
        <v>0.00925522</v>
      </c>
      <c r="AU44" s="9" t="s">
        <v>75</v>
      </c>
      <c r="AV44" s="9" t="s">
        <v>75</v>
      </c>
      <c r="AW44" s="9" t="n">
        <v>10.6194</v>
      </c>
      <c r="AX44" s="9" t="s">
        <v>75</v>
      </c>
      <c r="AY44" s="9" t="s">
        <v>75</v>
      </c>
    </row>
    <row r="45" customFormat="false" ht="15" hidden="false" customHeight="false" outlineLevel="0" collapsed="false">
      <c r="A45" s="9" t="s">
        <v>79</v>
      </c>
      <c r="B45" s="9" t="s">
        <v>74</v>
      </c>
      <c r="C45" s="9" t="n">
        <v>20</v>
      </c>
      <c r="D45" s="9" t="n">
        <v>1</v>
      </c>
      <c r="E45" s="9" t="n">
        <v>0</v>
      </c>
      <c r="F45" s="9" t="n">
        <v>0</v>
      </c>
      <c r="G45" s="9" t="n">
        <v>1</v>
      </c>
      <c r="H45" s="9" t="n">
        <v>1</v>
      </c>
      <c r="I45" s="9" t="n">
        <v>1</v>
      </c>
      <c r="J45" s="9" t="n">
        <v>1</v>
      </c>
      <c r="K45" s="9" t="n">
        <v>1</v>
      </c>
      <c r="L45" s="9" t="n">
        <v>1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5.98407</v>
      </c>
      <c r="R45" s="9" t="s">
        <v>75</v>
      </c>
      <c r="S45" s="9" t="s">
        <v>75</v>
      </c>
      <c r="T45" s="9" t="n">
        <v>58.8682</v>
      </c>
      <c r="U45" s="9" t="n">
        <v>18.1078</v>
      </c>
      <c r="V45" s="9" t="n">
        <v>913</v>
      </c>
      <c r="W45" s="9" t="n">
        <v>197</v>
      </c>
      <c r="X45" s="9" t="s">
        <v>75</v>
      </c>
      <c r="Y45" s="9" t="s">
        <v>75</v>
      </c>
      <c r="Z45" s="9" t="s">
        <v>75</v>
      </c>
      <c r="AA45" s="9" t="n">
        <v>3.62384</v>
      </c>
      <c r="AB45" s="9" t="s">
        <v>75</v>
      </c>
      <c r="AC45" s="9" t="s">
        <v>75</v>
      </c>
      <c r="AD45" s="9" t="s">
        <v>75</v>
      </c>
      <c r="AE45" s="9" t="s">
        <v>75</v>
      </c>
      <c r="AF45" s="9" t="s">
        <v>75</v>
      </c>
      <c r="AG45" s="9" t="s">
        <v>75</v>
      </c>
      <c r="AH45" s="9" t="s">
        <v>75</v>
      </c>
      <c r="AI45" s="9" t="s">
        <v>75</v>
      </c>
      <c r="AJ45" s="9" t="s">
        <v>75</v>
      </c>
      <c r="AK45" s="9" t="s">
        <v>75</v>
      </c>
      <c r="AL45" s="9" t="s">
        <v>75</v>
      </c>
      <c r="AM45" s="9" t="s">
        <v>75</v>
      </c>
      <c r="AN45" s="9" t="n">
        <v>3.61179</v>
      </c>
      <c r="AO45" s="9" t="s">
        <v>75</v>
      </c>
      <c r="AP45" s="9" t="s">
        <v>75</v>
      </c>
      <c r="AQ45" s="9" t="n">
        <v>4.64436</v>
      </c>
      <c r="AR45" s="9" t="s">
        <v>75</v>
      </c>
      <c r="AS45" s="9" t="s">
        <v>75</v>
      </c>
      <c r="AT45" s="9" t="n">
        <v>0.00735143</v>
      </c>
      <c r="AU45" s="9" t="s">
        <v>75</v>
      </c>
      <c r="AV45" s="9" t="s">
        <v>75</v>
      </c>
      <c r="AW45" s="9" t="n">
        <v>10.6358</v>
      </c>
      <c r="AX45" s="9" t="s">
        <v>75</v>
      </c>
      <c r="AY45" s="9" t="s">
        <v>75</v>
      </c>
    </row>
    <row r="46" customFormat="false" ht="15" hidden="false" customHeight="false" outlineLevel="0" collapsed="false">
      <c r="A46" s="9" t="s">
        <v>79</v>
      </c>
      <c r="B46" s="9" t="s">
        <v>74</v>
      </c>
      <c r="C46" s="9" t="n">
        <v>21</v>
      </c>
      <c r="D46" s="9" t="n">
        <v>1</v>
      </c>
      <c r="E46" s="9" t="n">
        <v>0</v>
      </c>
      <c r="F46" s="9" t="n">
        <v>0</v>
      </c>
      <c r="G46" s="9" t="n">
        <v>1</v>
      </c>
      <c r="H46" s="9" t="n">
        <v>1</v>
      </c>
      <c r="I46" s="9" t="n">
        <v>1</v>
      </c>
      <c r="J46" s="9" t="n">
        <v>1</v>
      </c>
      <c r="K46" s="9" t="n">
        <v>1</v>
      </c>
      <c r="L46" s="9" t="n">
        <v>1</v>
      </c>
      <c r="M46" s="9" t="n">
        <v>0</v>
      </c>
      <c r="N46" s="9" t="n">
        <v>0</v>
      </c>
      <c r="O46" s="9" t="n">
        <v>0</v>
      </c>
      <c r="P46" s="9" t="n">
        <v>0</v>
      </c>
      <c r="Q46" s="9" t="n">
        <v>6.07126</v>
      </c>
      <c r="R46" s="9" t="s">
        <v>75</v>
      </c>
      <c r="S46" s="9" t="s">
        <v>75</v>
      </c>
      <c r="T46" s="9" t="n">
        <v>60.2901</v>
      </c>
      <c r="U46" s="9" t="n">
        <v>18.0867</v>
      </c>
      <c r="V46" s="9" t="n">
        <v>866</v>
      </c>
      <c r="W46" s="9" t="n">
        <v>193</v>
      </c>
      <c r="X46" s="9" t="s">
        <v>75</v>
      </c>
      <c r="Y46" s="9" t="s">
        <v>75</v>
      </c>
      <c r="Z46" s="9" t="s">
        <v>75</v>
      </c>
      <c r="AA46" s="9" t="n">
        <v>3.58206</v>
      </c>
      <c r="AB46" s="9" t="s">
        <v>75</v>
      </c>
      <c r="AC46" s="9" t="s">
        <v>75</v>
      </c>
      <c r="AD46" s="9" t="s">
        <v>75</v>
      </c>
      <c r="AE46" s="9" t="s">
        <v>75</v>
      </c>
      <c r="AF46" s="9" t="s">
        <v>75</v>
      </c>
      <c r="AG46" s="9" t="s">
        <v>75</v>
      </c>
      <c r="AH46" s="9" t="s">
        <v>75</v>
      </c>
      <c r="AI46" s="9" t="s">
        <v>75</v>
      </c>
      <c r="AJ46" s="9" t="s">
        <v>75</v>
      </c>
      <c r="AK46" s="9" t="s">
        <v>75</v>
      </c>
      <c r="AL46" s="9" t="s">
        <v>75</v>
      </c>
      <c r="AM46" s="9" t="s">
        <v>75</v>
      </c>
      <c r="AN46" s="9" t="n">
        <v>3.57012</v>
      </c>
      <c r="AO46" s="9" t="s">
        <v>75</v>
      </c>
      <c r="AP46" s="9" t="s">
        <v>75</v>
      </c>
      <c r="AQ46" s="9" t="n">
        <v>4.58439</v>
      </c>
      <c r="AR46" s="9" t="s">
        <v>75</v>
      </c>
      <c r="AS46" s="9" t="s">
        <v>75</v>
      </c>
      <c r="AT46" s="9" t="n">
        <v>0.00724441</v>
      </c>
      <c r="AU46" s="9" t="s">
        <v>75</v>
      </c>
      <c r="AV46" s="9" t="s">
        <v>75</v>
      </c>
      <c r="AW46" s="9" t="n">
        <v>10.6629</v>
      </c>
      <c r="AX46" s="9" t="s">
        <v>75</v>
      </c>
      <c r="AY46" s="9" t="s">
        <v>75</v>
      </c>
    </row>
    <row r="47" customFormat="false" ht="15" hidden="false" customHeight="false" outlineLevel="0" collapsed="false">
      <c r="A47" s="9" t="s">
        <v>79</v>
      </c>
      <c r="B47" s="9" t="s">
        <v>74</v>
      </c>
      <c r="C47" s="9" t="n">
        <v>22</v>
      </c>
      <c r="D47" s="9" t="n">
        <v>1</v>
      </c>
      <c r="E47" s="9" t="n">
        <v>0</v>
      </c>
      <c r="F47" s="9" t="n">
        <v>0</v>
      </c>
      <c r="G47" s="9" t="n">
        <v>1</v>
      </c>
      <c r="H47" s="9" t="n">
        <v>1</v>
      </c>
      <c r="I47" s="9" t="n">
        <v>1</v>
      </c>
      <c r="J47" s="9" t="n">
        <v>1</v>
      </c>
      <c r="K47" s="9" t="n">
        <v>1</v>
      </c>
      <c r="L47" s="9" t="n">
        <v>1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5.97302</v>
      </c>
      <c r="R47" s="9" t="s">
        <v>75</v>
      </c>
      <c r="S47" s="9" t="s">
        <v>75</v>
      </c>
      <c r="T47" s="9" t="n">
        <v>60.2225</v>
      </c>
      <c r="U47" s="9" t="n">
        <v>18.0487</v>
      </c>
      <c r="V47" s="9" t="n">
        <v>943</v>
      </c>
      <c r="W47" s="9" t="n">
        <v>81</v>
      </c>
      <c r="X47" s="9" t="s">
        <v>75</v>
      </c>
      <c r="Y47" s="9" t="s">
        <v>75</v>
      </c>
      <c r="Z47" s="9" t="s">
        <v>75</v>
      </c>
      <c r="AA47" s="9" t="n">
        <v>3.59731</v>
      </c>
      <c r="AB47" s="9" t="s">
        <v>75</v>
      </c>
      <c r="AC47" s="9" t="s">
        <v>75</v>
      </c>
      <c r="AD47" s="9" t="s">
        <v>75</v>
      </c>
      <c r="AE47" s="9" t="s">
        <v>75</v>
      </c>
      <c r="AF47" s="9" t="s">
        <v>75</v>
      </c>
      <c r="AG47" s="9" t="s">
        <v>75</v>
      </c>
      <c r="AH47" s="9" t="s">
        <v>75</v>
      </c>
      <c r="AI47" s="9" t="s">
        <v>75</v>
      </c>
      <c r="AJ47" s="9" t="s">
        <v>75</v>
      </c>
      <c r="AK47" s="9" t="s">
        <v>75</v>
      </c>
      <c r="AL47" s="9" t="s">
        <v>75</v>
      </c>
      <c r="AM47" s="9" t="s">
        <v>75</v>
      </c>
      <c r="AN47" s="9" t="n">
        <v>3.58532</v>
      </c>
      <c r="AO47" s="9" t="s">
        <v>75</v>
      </c>
      <c r="AP47" s="9" t="s">
        <v>75</v>
      </c>
      <c r="AQ47" s="9" t="n">
        <v>4.61003</v>
      </c>
      <c r="AR47" s="9" t="s">
        <v>75</v>
      </c>
      <c r="AS47" s="9" t="s">
        <v>75</v>
      </c>
      <c r="AT47" s="9" t="n">
        <v>0.00788542</v>
      </c>
      <c r="AU47" s="9" t="s">
        <v>75</v>
      </c>
      <c r="AV47" s="9" t="s">
        <v>75</v>
      </c>
      <c r="AW47" s="9" t="n">
        <v>10.5909</v>
      </c>
      <c r="AX47" s="9" t="s">
        <v>75</v>
      </c>
      <c r="AY47" s="9" t="s">
        <v>75</v>
      </c>
    </row>
    <row r="48" customFormat="false" ht="15" hidden="false" customHeight="false" outlineLevel="0" collapsed="false">
      <c r="A48" s="9" t="s">
        <v>79</v>
      </c>
      <c r="B48" s="9" t="s">
        <v>74</v>
      </c>
      <c r="C48" s="9" t="n">
        <v>23</v>
      </c>
      <c r="D48" s="9" t="n">
        <v>1</v>
      </c>
      <c r="E48" s="9" t="n">
        <v>0</v>
      </c>
      <c r="F48" s="9" t="n">
        <v>0</v>
      </c>
      <c r="G48" s="9" t="n">
        <v>1</v>
      </c>
      <c r="H48" s="9" t="n">
        <v>1</v>
      </c>
      <c r="I48" s="9" t="n">
        <v>1</v>
      </c>
      <c r="J48" s="9" t="n">
        <v>1</v>
      </c>
      <c r="K48" s="9" t="n">
        <v>1</v>
      </c>
      <c r="L48" s="9" t="n">
        <v>1</v>
      </c>
      <c r="M48" s="9" t="n">
        <v>0</v>
      </c>
      <c r="N48" s="9" t="n">
        <v>0</v>
      </c>
      <c r="O48" s="9" t="n">
        <v>0</v>
      </c>
      <c r="P48" s="9" t="n">
        <v>0</v>
      </c>
      <c r="Q48" s="9" t="n">
        <v>6.03008</v>
      </c>
      <c r="R48" s="9" t="s">
        <v>75</v>
      </c>
      <c r="S48" s="9" t="s">
        <v>75</v>
      </c>
      <c r="T48" s="9" t="n">
        <v>59.2226</v>
      </c>
      <c r="U48" s="9" t="n">
        <v>18.052</v>
      </c>
      <c r="V48" s="9" t="n">
        <v>789</v>
      </c>
      <c r="W48" s="9" t="n">
        <v>173</v>
      </c>
      <c r="X48" s="9" t="s">
        <v>75</v>
      </c>
      <c r="Y48" s="9" t="s">
        <v>75</v>
      </c>
      <c r="Z48" s="9" t="s">
        <v>75</v>
      </c>
      <c r="AA48" s="9" t="n">
        <v>3.58697</v>
      </c>
      <c r="AB48" s="9" t="s">
        <v>75</v>
      </c>
      <c r="AC48" s="9" t="s">
        <v>75</v>
      </c>
      <c r="AD48" s="9" t="s">
        <v>75</v>
      </c>
      <c r="AE48" s="9" t="s">
        <v>75</v>
      </c>
      <c r="AF48" s="9" t="s">
        <v>75</v>
      </c>
      <c r="AG48" s="9" t="s">
        <v>75</v>
      </c>
      <c r="AH48" s="9" t="s">
        <v>75</v>
      </c>
      <c r="AI48" s="9" t="s">
        <v>75</v>
      </c>
      <c r="AJ48" s="9" t="s">
        <v>75</v>
      </c>
      <c r="AK48" s="9" t="s">
        <v>75</v>
      </c>
      <c r="AL48" s="9" t="s">
        <v>75</v>
      </c>
      <c r="AM48" s="9" t="s">
        <v>75</v>
      </c>
      <c r="AN48" s="9" t="n">
        <v>3.57498</v>
      </c>
      <c r="AO48" s="9" t="s">
        <v>75</v>
      </c>
      <c r="AP48" s="9" t="s">
        <v>75</v>
      </c>
      <c r="AQ48" s="9" t="n">
        <v>4.59398</v>
      </c>
      <c r="AR48" s="9" t="s">
        <v>75</v>
      </c>
      <c r="AS48" s="9" t="s">
        <v>75</v>
      </c>
      <c r="AT48" s="9" t="n">
        <v>0.010395</v>
      </c>
      <c r="AU48" s="9" t="s">
        <v>75</v>
      </c>
      <c r="AV48" s="9" t="s">
        <v>75</v>
      </c>
      <c r="AW48" s="9" t="n">
        <v>10.6344</v>
      </c>
      <c r="AX48" s="9" t="s">
        <v>75</v>
      </c>
      <c r="AY48" s="9" t="s">
        <v>75</v>
      </c>
    </row>
    <row r="49" customFormat="false" ht="15" hidden="false" customHeight="false" outlineLevel="0" collapsed="false">
      <c r="A49" s="9" t="s">
        <v>79</v>
      </c>
      <c r="B49" s="9" t="s">
        <v>74</v>
      </c>
      <c r="C49" s="9" t="n">
        <v>24</v>
      </c>
      <c r="D49" s="9" t="n">
        <v>1</v>
      </c>
      <c r="E49" s="9" t="n">
        <v>0</v>
      </c>
      <c r="F49" s="9" t="n">
        <v>0</v>
      </c>
      <c r="G49" s="9" t="n">
        <v>1</v>
      </c>
      <c r="H49" s="9" t="n">
        <v>1</v>
      </c>
      <c r="I49" s="9" t="n">
        <v>1</v>
      </c>
      <c r="J49" s="9" t="n">
        <v>1</v>
      </c>
      <c r="K49" s="9" t="n">
        <v>1</v>
      </c>
      <c r="L49" s="9" t="n">
        <v>1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6.08252</v>
      </c>
      <c r="R49" s="9" t="s">
        <v>75</v>
      </c>
      <c r="S49" s="9" t="s">
        <v>75</v>
      </c>
      <c r="T49" s="9" t="n">
        <v>59.9582</v>
      </c>
      <c r="U49" s="9" t="n">
        <v>18.0747</v>
      </c>
      <c r="V49" s="9" t="n">
        <v>861</v>
      </c>
      <c r="W49" s="9" t="n">
        <v>75</v>
      </c>
      <c r="X49" s="9" t="s">
        <v>75</v>
      </c>
      <c r="Y49" s="9" t="s">
        <v>75</v>
      </c>
      <c r="Z49" s="9" t="s">
        <v>75</v>
      </c>
      <c r="AA49" s="9" t="n">
        <v>3.60168</v>
      </c>
      <c r="AB49" s="9" t="s">
        <v>75</v>
      </c>
      <c r="AC49" s="9" t="s">
        <v>75</v>
      </c>
      <c r="AD49" s="9" t="s">
        <v>75</v>
      </c>
      <c r="AE49" s="9" t="s">
        <v>75</v>
      </c>
      <c r="AF49" s="9" t="s">
        <v>75</v>
      </c>
      <c r="AG49" s="9" t="s">
        <v>75</v>
      </c>
      <c r="AH49" s="9" t="s">
        <v>75</v>
      </c>
      <c r="AI49" s="9" t="s">
        <v>75</v>
      </c>
      <c r="AJ49" s="9" t="s">
        <v>75</v>
      </c>
      <c r="AK49" s="9" t="s">
        <v>75</v>
      </c>
      <c r="AL49" s="9" t="s">
        <v>75</v>
      </c>
      <c r="AM49" s="9" t="s">
        <v>75</v>
      </c>
      <c r="AN49" s="9" t="n">
        <v>3.58974</v>
      </c>
      <c r="AO49" s="9" t="s">
        <v>75</v>
      </c>
      <c r="AP49" s="9" t="s">
        <v>75</v>
      </c>
      <c r="AQ49" s="9" t="n">
        <v>4.60986</v>
      </c>
      <c r="AR49" s="9" t="s">
        <v>75</v>
      </c>
      <c r="AS49" s="9" t="s">
        <v>75</v>
      </c>
      <c r="AT49" s="9" t="n">
        <v>0.00814189</v>
      </c>
      <c r="AU49" s="9" t="s">
        <v>75</v>
      </c>
      <c r="AV49" s="9" t="s">
        <v>75</v>
      </c>
      <c r="AW49" s="9" t="n">
        <v>10.7005</v>
      </c>
      <c r="AX49" s="9" t="s">
        <v>75</v>
      </c>
      <c r="AY49" s="9" t="s">
        <v>75</v>
      </c>
    </row>
    <row r="50" customFormat="false" ht="15" hidden="false" customHeight="false" outlineLevel="0" collapsed="false">
      <c r="A50" s="9" t="s">
        <v>79</v>
      </c>
      <c r="B50" s="9" t="s">
        <v>74</v>
      </c>
      <c r="C50" s="9" t="n">
        <v>31</v>
      </c>
      <c r="D50" s="9" t="n">
        <v>1</v>
      </c>
      <c r="E50" s="9" t="n">
        <v>0</v>
      </c>
      <c r="F50" s="9" t="n">
        <v>0</v>
      </c>
      <c r="G50" s="9" t="n">
        <v>1</v>
      </c>
      <c r="H50" s="9" t="n">
        <v>1</v>
      </c>
      <c r="I50" s="9" t="n">
        <v>1</v>
      </c>
      <c r="J50" s="9" t="n">
        <v>1</v>
      </c>
      <c r="K50" s="9" t="n">
        <v>1</v>
      </c>
      <c r="L50" s="9" t="n">
        <v>1</v>
      </c>
      <c r="M50" s="9" t="n">
        <v>0</v>
      </c>
      <c r="N50" s="9" t="n">
        <v>0</v>
      </c>
      <c r="O50" s="9" t="n">
        <v>0</v>
      </c>
      <c r="P50" s="9" t="n">
        <v>0</v>
      </c>
      <c r="Q50" s="9" t="n">
        <v>5.62881</v>
      </c>
      <c r="R50" s="9" t="s">
        <v>75</v>
      </c>
      <c r="S50" s="9" t="s">
        <v>75</v>
      </c>
      <c r="T50" s="9" t="n">
        <v>58.9958</v>
      </c>
      <c r="U50" s="9" t="n">
        <v>19.3814</v>
      </c>
      <c r="V50" s="9" t="n">
        <v>926</v>
      </c>
      <c r="W50" s="9" t="n">
        <v>172</v>
      </c>
      <c r="X50" s="9" t="n">
        <v>99.994</v>
      </c>
      <c r="Y50" s="9" t="n">
        <v>0.68</v>
      </c>
      <c r="Z50" s="9" t="n">
        <v>0.006</v>
      </c>
      <c r="AA50" s="9" t="n">
        <v>3.55993</v>
      </c>
      <c r="AB50" s="9" t="n">
        <v>189.609</v>
      </c>
      <c r="AC50" s="9" t="n">
        <v>4.064</v>
      </c>
      <c r="AD50" s="9" t="n">
        <v>13.909</v>
      </c>
      <c r="AE50" s="9" t="n">
        <v>0.168</v>
      </c>
      <c r="AF50" s="9" t="s">
        <v>75</v>
      </c>
      <c r="AG50" s="9" t="s">
        <v>75</v>
      </c>
      <c r="AH50" s="9" t="s">
        <v>75</v>
      </c>
      <c r="AI50" s="9" t="s">
        <v>75</v>
      </c>
      <c r="AJ50" s="9" t="s">
        <v>75</v>
      </c>
      <c r="AK50" s="9" t="s">
        <v>75</v>
      </c>
      <c r="AL50" s="9" t="s">
        <v>75</v>
      </c>
      <c r="AM50" s="9" t="s">
        <v>75</v>
      </c>
      <c r="AN50" s="9" t="n">
        <v>3.54795</v>
      </c>
      <c r="AO50" s="9" t="s">
        <v>75</v>
      </c>
      <c r="AP50" s="9" t="s">
        <v>75</v>
      </c>
      <c r="AQ50" s="9" t="n">
        <v>4.56144</v>
      </c>
      <c r="AR50" s="9" t="s">
        <v>75</v>
      </c>
      <c r="AS50" s="9" t="s">
        <v>75</v>
      </c>
      <c r="AT50" s="9" t="n">
        <v>0.00850248</v>
      </c>
      <c r="AU50" s="9" t="s">
        <v>75</v>
      </c>
      <c r="AV50" s="9" t="s">
        <v>75</v>
      </c>
      <c r="AW50" s="9" t="n">
        <v>10.1988</v>
      </c>
      <c r="AX50" s="9" t="s">
        <v>75</v>
      </c>
      <c r="AY50" s="9" t="s">
        <v>75</v>
      </c>
    </row>
    <row r="51" customFormat="false" ht="15" hidden="false" customHeight="false" outlineLevel="0" collapsed="false">
      <c r="A51" s="9" t="s">
        <v>79</v>
      </c>
      <c r="B51" s="9" t="s">
        <v>74</v>
      </c>
      <c r="C51" s="9" t="n">
        <v>32</v>
      </c>
      <c r="D51" s="9" t="n">
        <v>1</v>
      </c>
      <c r="E51" s="9" t="n">
        <v>0</v>
      </c>
      <c r="F51" s="9" t="n">
        <v>0</v>
      </c>
      <c r="G51" s="9" t="n">
        <v>1</v>
      </c>
      <c r="H51" s="9" t="n">
        <v>1</v>
      </c>
      <c r="I51" s="9" t="n">
        <v>1</v>
      </c>
      <c r="J51" s="9" t="n">
        <v>1</v>
      </c>
      <c r="K51" s="9" t="n">
        <v>1</v>
      </c>
      <c r="L51" s="9" t="n">
        <v>1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5.58078</v>
      </c>
      <c r="R51" s="9" t="s">
        <v>75</v>
      </c>
      <c r="S51" s="9" t="s">
        <v>75</v>
      </c>
      <c r="T51" s="9" t="n">
        <v>58.484</v>
      </c>
      <c r="U51" s="9" t="n">
        <v>18.5101</v>
      </c>
      <c r="V51" s="9" t="n">
        <v>928</v>
      </c>
      <c r="W51" s="9" t="n">
        <v>417</v>
      </c>
      <c r="X51" s="9" t="n">
        <v>99.994</v>
      </c>
      <c r="Y51" s="9" t="n">
        <v>0.34</v>
      </c>
      <c r="Z51" s="9" t="n">
        <v>0.006</v>
      </c>
      <c r="AA51" s="9" t="n">
        <v>3.6062</v>
      </c>
      <c r="AB51" s="9" t="n">
        <v>186.168</v>
      </c>
      <c r="AC51" s="9" t="n">
        <v>4.064</v>
      </c>
      <c r="AD51" s="9" t="n">
        <v>13.972</v>
      </c>
      <c r="AE51" s="9" t="n">
        <v>0.172</v>
      </c>
      <c r="AF51" s="9" t="s">
        <v>75</v>
      </c>
      <c r="AG51" s="9" t="s">
        <v>75</v>
      </c>
      <c r="AH51" s="9" t="s">
        <v>75</v>
      </c>
      <c r="AI51" s="9" t="s">
        <v>75</v>
      </c>
      <c r="AJ51" s="9" t="s">
        <v>75</v>
      </c>
      <c r="AK51" s="9" t="s">
        <v>75</v>
      </c>
      <c r="AL51" s="9" t="s">
        <v>75</v>
      </c>
      <c r="AM51" s="9" t="s">
        <v>75</v>
      </c>
      <c r="AN51" s="9" t="n">
        <v>3.59431</v>
      </c>
      <c r="AO51" s="9" t="s">
        <v>75</v>
      </c>
      <c r="AP51" s="9" t="s">
        <v>75</v>
      </c>
      <c r="AQ51" s="9" t="n">
        <v>4.6206</v>
      </c>
      <c r="AR51" s="9" t="s">
        <v>75</v>
      </c>
      <c r="AS51" s="9" t="s">
        <v>75</v>
      </c>
      <c r="AT51" s="9" t="n">
        <v>0.00817672</v>
      </c>
      <c r="AU51" s="9" t="s">
        <v>75</v>
      </c>
      <c r="AV51" s="9" t="s">
        <v>75</v>
      </c>
      <c r="AW51" s="9" t="n">
        <v>10.2096</v>
      </c>
      <c r="AX51" s="9" t="s">
        <v>75</v>
      </c>
      <c r="AY51" s="9" t="s">
        <v>75</v>
      </c>
    </row>
    <row r="52" customFormat="false" ht="15" hidden="false" customHeight="false" outlineLevel="0" collapsed="false">
      <c r="A52" s="9" t="s">
        <v>79</v>
      </c>
      <c r="B52" s="9" t="s">
        <v>74</v>
      </c>
      <c r="C52" s="9" t="n">
        <v>33</v>
      </c>
      <c r="D52" s="9" t="n">
        <v>1</v>
      </c>
      <c r="E52" s="9" t="n">
        <v>0</v>
      </c>
      <c r="F52" s="9" t="n">
        <v>0</v>
      </c>
      <c r="G52" s="9" t="n">
        <v>1</v>
      </c>
      <c r="H52" s="9" t="n">
        <v>1</v>
      </c>
      <c r="I52" s="9" t="n">
        <v>1</v>
      </c>
      <c r="J52" s="9" t="n">
        <v>1</v>
      </c>
      <c r="K52" s="9" t="n">
        <v>1</v>
      </c>
      <c r="L52" s="9" t="n">
        <v>1</v>
      </c>
      <c r="M52" s="9" t="n">
        <v>0</v>
      </c>
      <c r="N52" s="9" t="n">
        <v>0</v>
      </c>
      <c r="O52" s="9" t="n">
        <v>0</v>
      </c>
      <c r="P52" s="9" t="n">
        <v>0</v>
      </c>
      <c r="Q52" s="9" t="n">
        <v>5.63429</v>
      </c>
      <c r="R52" s="9" t="s">
        <v>75</v>
      </c>
      <c r="S52" s="9" t="s">
        <v>75</v>
      </c>
      <c r="T52" s="9" t="n">
        <v>58.1973</v>
      </c>
      <c r="U52" s="9" t="n">
        <v>18.1627</v>
      </c>
      <c r="V52" s="9" t="n">
        <v>924</v>
      </c>
      <c r="W52" s="9" t="n">
        <v>115</v>
      </c>
      <c r="X52" s="9" t="n">
        <v>99.994</v>
      </c>
      <c r="Y52" s="9" t="n">
        <v>0.679</v>
      </c>
      <c r="Z52" s="9" t="n">
        <v>0.006</v>
      </c>
      <c r="AA52" s="9" t="n">
        <v>3.5711</v>
      </c>
      <c r="AB52" s="9" t="n">
        <v>188.504</v>
      </c>
      <c r="AC52" s="9" t="n">
        <v>4.126</v>
      </c>
      <c r="AD52" s="9" t="n">
        <v>13.95</v>
      </c>
      <c r="AE52" s="9" t="n">
        <v>0.18</v>
      </c>
      <c r="AF52" s="9" t="s">
        <v>75</v>
      </c>
      <c r="AG52" s="9" t="s">
        <v>75</v>
      </c>
      <c r="AH52" s="9" t="s">
        <v>75</v>
      </c>
      <c r="AI52" s="9" t="s">
        <v>75</v>
      </c>
      <c r="AJ52" s="9" t="s">
        <v>75</v>
      </c>
      <c r="AK52" s="9" t="s">
        <v>75</v>
      </c>
      <c r="AL52" s="9" t="s">
        <v>75</v>
      </c>
      <c r="AM52" s="9" t="s">
        <v>75</v>
      </c>
      <c r="AN52" s="9" t="n">
        <v>3.55925</v>
      </c>
      <c r="AO52" s="9" t="s">
        <v>75</v>
      </c>
      <c r="AP52" s="9" t="s">
        <v>75</v>
      </c>
      <c r="AQ52" s="9" t="n">
        <v>4.57508</v>
      </c>
      <c r="AR52" s="9" t="s">
        <v>75</v>
      </c>
      <c r="AS52" s="9" t="s">
        <v>75</v>
      </c>
      <c r="AT52" s="9" t="n">
        <v>0.00720451</v>
      </c>
      <c r="AU52" s="9" t="s">
        <v>75</v>
      </c>
      <c r="AV52" s="9" t="s">
        <v>75</v>
      </c>
      <c r="AW52" s="9" t="n">
        <v>10.2166</v>
      </c>
      <c r="AX52" s="9" t="s">
        <v>75</v>
      </c>
      <c r="AY52" s="9" t="s">
        <v>75</v>
      </c>
    </row>
    <row r="53" customFormat="false" ht="15" hidden="false" customHeight="false" outlineLevel="0" collapsed="false">
      <c r="A53" s="9" t="s">
        <v>79</v>
      </c>
      <c r="B53" s="9" t="s">
        <v>76</v>
      </c>
      <c r="C53" s="9" t="n">
        <v>4</v>
      </c>
      <c r="D53" s="9" t="n">
        <v>1</v>
      </c>
      <c r="E53" s="9" t="n">
        <v>1</v>
      </c>
      <c r="F53" s="9" t="n">
        <v>0</v>
      </c>
      <c r="G53" s="9" t="n">
        <v>1</v>
      </c>
      <c r="H53" s="9" t="n">
        <v>1</v>
      </c>
      <c r="I53" s="9" t="n">
        <v>1</v>
      </c>
      <c r="J53" s="9" t="n">
        <v>1</v>
      </c>
      <c r="K53" s="9" t="n">
        <v>1</v>
      </c>
      <c r="L53" s="9" t="n">
        <v>1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695.392</v>
      </c>
      <c r="R53" s="9" t="n">
        <v>731.059</v>
      </c>
      <c r="S53" s="9" t="s">
        <v>75</v>
      </c>
      <c r="T53" s="9" t="n">
        <v>40.7103</v>
      </c>
      <c r="U53" s="9" t="n">
        <v>12.2679</v>
      </c>
      <c r="V53" s="9" t="n">
        <v>8383</v>
      </c>
      <c r="W53" s="9" t="n">
        <v>7068</v>
      </c>
      <c r="X53" s="9" t="s">
        <v>75</v>
      </c>
      <c r="Y53" s="9" t="s">
        <v>75</v>
      </c>
      <c r="Z53" s="9" t="s">
        <v>75</v>
      </c>
      <c r="AA53" s="9" t="n">
        <v>46.8482</v>
      </c>
      <c r="AB53" s="9" t="s">
        <v>75</v>
      </c>
      <c r="AC53" s="9" t="s">
        <v>75</v>
      </c>
      <c r="AD53" s="9" t="s">
        <v>75</v>
      </c>
      <c r="AE53" s="9" t="s">
        <v>75</v>
      </c>
      <c r="AF53" s="9" t="s">
        <v>75</v>
      </c>
      <c r="AG53" s="9" t="s">
        <v>75</v>
      </c>
      <c r="AH53" s="9" t="s">
        <v>75</v>
      </c>
      <c r="AI53" s="9" t="s">
        <v>75</v>
      </c>
      <c r="AJ53" s="9" t="s">
        <v>75</v>
      </c>
      <c r="AK53" s="9" t="s">
        <v>75</v>
      </c>
      <c r="AL53" s="9" t="s">
        <v>75</v>
      </c>
      <c r="AM53" s="9" t="s">
        <v>75</v>
      </c>
      <c r="AN53" s="9" t="n">
        <v>42.7871</v>
      </c>
      <c r="AO53" s="9" t="n">
        <v>46.6754</v>
      </c>
      <c r="AP53" s="9" t="s">
        <v>75</v>
      </c>
      <c r="AQ53" s="9" t="n">
        <v>6.7767</v>
      </c>
      <c r="AR53" s="9" t="n">
        <v>5.77804</v>
      </c>
      <c r="AS53" s="9" t="s">
        <v>75</v>
      </c>
      <c r="AT53" s="9" t="n">
        <v>0.0109754</v>
      </c>
      <c r="AU53" s="9" t="n">
        <v>38.2142</v>
      </c>
      <c r="AV53" s="9" t="s">
        <v>75</v>
      </c>
      <c r="AW53" s="9" t="n">
        <v>702.179</v>
      </c>
      <c r="AX53" s="9" t="n">
        <v>775.051</v>
      </c>
      <c r="AY53" s="9" t="s">
        <v>75</v>
      </c>
    </row>
    <row r="54" customFormat="false" ht="15" hidden="false" customHeight="false" outlineLevel="0" collapsed="false">
      <c r="A54" s="9" t="s">
        <v>79</v>
      </c>
      <c r="B54" s="9" t="s">
        <v>76</v>
      </c>
      <c r="C54" s="9" t="n">
        <v>5</v>
      </c>
      <c r="D54" s="9" t="n">
        <v>1</v>
      </c>
      <c r="E54" s="9" t="n">
        <v>1</v>
      </c>
      <c r="F54" s="9" t="n">
        <v>0</v>
      </c>
      <c r="G54" s="9" t="n">
        <v>1</v>
      </c>
      <c r="H54" s="9" t="n">
        <v>1</v>
      </c>
      <c r="I54" s="9" t="n">
        <v>1</v>
      </c>
      <c r="J54" s="9" t="n">
        <v>1</v>
      </c>
      <c r="K54" s="9" t="n">
        <v>1</v>
      </c>
      <c r="L54" s="9" t="n">
        <v>1</v>
      </c>
      <c r="M54" s="9" t="n">
        <v>0</v>
      </c>
      <c r="N54" s="9" t="n">
        <v>0</v>
      </c>
      <c r="O54" s="9" t="n">
        <v>0</v>
      </c>
      <c r="P54" s="9" t="n">
        <v>0</v>
      </c>
      <c r="Q54" s="9" t="n">
        <v>717.305</v>
      </c>
      <c r="R54" s="9" t="n">
        <v>725.624</v>
      </c>
      <c r="S54" s="9" t="s">
        <v>75</v>
      </c>
      <c r="T54" s="9" t="n">
        <v>40.4975</v>
      </c>
      <c r="U54" s="9" t="n">
        <v>12.3075</v>
      </c>
      <c r="V54" s="9" t="n">
        <v>8423</v>
      </c>
      <c r="W54" s="9" t="n">
        <v>6108</v>
      </c>
      <c r="X54" s="9" t="s">
        <v>75</v>
      </c>
      <c r="Y54" s="9" t="s">
        <v>75</v>
      </c>
      <c r="Z54" s="9" t="s">
        <v>75</v>
      </c>
      <c r="AA54" s="9" t="n">
        <v>47.0345</v>
      </c>
      <c r="AB54" s="9" t="s">
        <v>75</v>
      </c>
      <c r="AC54" s="9" t="s">
        <v>75</v>
      </c>
      <c r="AD54" s="9" t="s">
        <v>75</v>
      </c>
      <c r="AE54" s="9" t="s">
        <v>75</v>
      </c>
      <c r="AF54" s="9" t="s">
        <v>75</v>
      </c>
      <c r="AG54" s="9" t="s">
        <v>75</v>
      </c>
      <c r="AH54" s="9" t="s">
        <v>75</v>
      </c>
      <c r="AI54" s="9" t="s">
        <v>75</v>
      </c>
      <c r="AJ54" s="9" t="s">
        <v>75</v>
      </c>
      <c r="AK54" s="9" t="s">
        <v>75</v>
      </c>
      <c r="AL54" s="9" t="s">
        <v>75</v>
      </c>
      <c r="AM54" s="9" t="s">
        <v>75</v>
      </c>
      <c r="AN54" s="9" t="n">
        <v>44.1499</v>
      </c>
      <c r="AO54" s="9" t="n">
        <v>46.8625</v>
      </c>
      <c r="AP54" s="9" t="s">
        <v>75</v>
      </c>
      <c r="AQ54" s="9" t="n">
        <v>6.68841</v>
      </c>
      <c r="AR54" s="9" t="n">
        <v>5.5696</v>
      </c>
      <c r="AS54" s="9" t="s">
        <v>75</v>
      </c>
      <c r="AT54" s="9" t="n">
        <v>0.00871071</v>
      </c>
      <c r="AU54" s="9" t="n">
        <v>38.3136</v>
      </c>
      <c r="AV54" s="9" t="s">
        <v>75</v>
      </c>
      <c r="AW54" s="9" t="n">
        <v>724.002</v>
      </c>
      <c r="AX54" s="9" t="n">
        <v>769.507</v>
      </c>
      <c r="AY54" s="9" t="s">
        <v>75</v>
      </c>
    </row>
    <row r="55" customFormat="false" ht="15" hidden="false" customHeight="false" outlineLevel="0" collapsed="false">
      <c r="A55" s="9" t="s">
        <v>79</v>
      </c>
      <c r="B55" s="9" t="s">
        <v>76</v>
      </c>
      <c r="C55" s="9" t="n">
        <v>6</v>
      </c>
      <c r="D55" s="9" t="n">
        <v>1</v>
      </c>
      <c r="E55" s="9" t="n">
        <v>1</v>
      </c>
      <c r="F55" s="9" t="n">
        <v>0</v>
      </c>
      <c r="G55" s="9" t="n">
        <v>1</v>
      </c>
      <c r="H55" s="9" t="n">
        <v>1</v>
      </c>
      <c r="I55" s="9" t="n">
        <v>1</v>
      </c>
      <c r="J55" s="9" t="n">
        <v>1</v>
      </c>
      <c r="K55" s="9" t="n">
        <v>1</v>
      </c>
      <c r="L55" s="9" t="n">
        <v>1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729.453</v>
      </c>
      <c r="R55" s="9" t="n">
        <v>726.725</v>
      </c>
      <c r="S55" s="9" t="s">
        <v>75</v>
      </c>
      <c r="T55" s="9" t="n">
        <v>40.6278</v>
      </c>
      <c r="U55" s="9" t="n">
        <v>12.2683</v>
      </c>
      <c r="V55" s="9" t="n">
        <v>8463</v>
      </c>
      <c r="W55" s="9" t="n">
        <v>7630</v>
      </c>
      <c r="X55" s="9" t="s">
        <v>75</v>
      </c>
      <c r="Y55" s="9" t="s">
        <v>75</v>
      </c>
      <c r="Z55" s="9" t="s">
        <v>75</v>
      </c>
      <c r="AA55" s="9" t="n">
        <v>47.4681</v>
      </c>
      <c r="AB55" s="9" t="s">
        <v>75</v>
      </c>
      <c r="AC55" s="9" t="s">
        <v>75</v>
      </c>
      <c r="AD55" s="9" t="s">
        <v>75</v>
      </c>
      <c r="AE55" s="9" t="s">
        <v>75</v>
      </c>
      <c r="AF55" s="9" t="s">
        <v>75</v>
      </c>
      <c r="AG55" s="9" t="s">
        <v>75</v>
      </c>
      <c r="AH55" s="9" t="s">
        <v>75</v>
      </c>
      <c r="AI55" s="9" t="s">
        <v>75</v>
      </c>
      <c r="AJ55" s="9" t="s">
        <v>75</v>
      </c>
      <c r="AK55" s="9" t="s">
        <v>75</v>
      </c>
      <c r="AL55" s="9" t="s">
        <v>75</v>
      </c>
      <c r="AM55" s="9" t="s">
        <v>75</v>
      </c>
      <c r="AN55" s="9" t="n">
        <v>44.8719</v>
      </c>
      <c r="AO55" s="9" t="n">
        <v>47.2962</v>
      </c>
      <c r="AP55" s="9" t="s">
        <v>75</v>
      </c>
      <c r="AQ55" s="9" t="n">
        <v>6.78149</v>
      </c>
      <c r="AR55" s="9" t="n">
        <v>5.67567</v>
      </c>
      <c r="AS55" s="9" t="s">
        <v>75</v>
      </c>
      <c r="AT55" s="9" t="n">
        <v>0.00897371</v>
      </c>
      <c r="AU55" s="9" t="n">
        <v>38.2114</v>
      </c>
      <c r="AV55" s="9" t="s">
        <v>75</v>
      </c>
      <c r="AW55" s="9" t="n">
        <v>736.243</v>
      </c>
      <c r="AX55" s="9" t="n">
        <v>770.612</v>
      </c>
      <c r="AY55" s="9" t="s">
        <v>75</v>
      </c>
    </row>
    <row r="56" customFormat="false" ht="15" hidden="false" customHeight="false" outlineLevel="0" collapsed="false">
      <c r="A56" s="9" t="s">
        <v>79</v>
      </c>
      <c r="B56" s="9" t="s">
        <v>76</v>
      </c>
      <c r="C56" s="9" t="n">
        <v>25</v>
      </c>
      <c r="D56" s="9" t="n">
        <v>1</v>
      </c>
      <c r="E56" s="9" t="n">
        <v>1</v>
      </c>
      <c r="F56" s="9" t="n">
        <v>0</v>
      </c>
      <c r="G56" s="9" t="n">
        <v>1</v>
      </c>
      <c r="H56" s="9" t="n">
        <v>1</v>
      </c>
      <c r="I56" s="9" t="n">
        <v>1</v>
      </c>
      <c r="J56" s="9" t="n">
        <v>1</v>
      </c>
      <c r="K56" s="9" t="n">
        <v>1</v>
      </c>
      <c r="L56" s="9" t="n">
        <v>1</v>
      </c>
      <c r="M56" s="9" t="n">
        <v>0</v>
      </c>
      <c r="N56" s="9" t="n">
        <v>0</v>
      </c>
      <c r="O56" s="9" t="n">
        <v>0</v>
      </c>
      <c r="P56" s="9" t="n">
        <v>0</v>
      </c>
      <c r="Q56" s="9" t="n">
        <v>507.78</v>
      </c>
      <c r="R56" s="9" t="n">
        <v>660.202</v>
      </c>
      <c r="S56" s="9" t="s">
        <v>75</v>
      </c>
      <c r="T56" s="9" t="n">
        <v>41.2827</v>
      </c>
      <c r="U56" s="9" t="n">
        <v>19.5835</v>
      </c>
      <c r="V56" s="9" t="n">
        <v>8247</v>
      </c>
      <c r="W56" s="9" t="n">
        <v>6908</v>
      </c>
      <c r="X56" s="9" t="n">
        <v>99.999</v>
      </c>
      <c r="Y56" s="9" t="n">
        <v>33.455</v>
      </c>
      <c r="Z56" s="9" t="n">
        <v>0.001</v>
      </c>
      <c r="AA56" s="9" t="n">
        <v>37.2006</v>
      </c>
      <c r="AB56" s="9" t="n">
        <v>17.698</v>
      </c>
      <c r="AC56" s="9" t="n">
        <v>17.416</v>
      </c>
      <c r="AD56" s="9" t="n">
        <v>35.897</v>
      </c>
      <c r="AE56" s="9" t="n">
        <v>0.651</v>
      </c>
      <c r="AF56" s="9" t="n">
        <v>16.728</v>
      </c>
      <c r="AG56" s="9" t="n">
        <v>69.755</v>
      </c>
      <c r="AH56" s="9" t="n">
        <v>457.091</v>
      </c>
      <c r="AI56" s="9" t="n">
        <v>0.791</v>
      </c>
      <c r="AJ56" s="9" t="s">
        <v>75</v>
      </c>
      <c r="AK56" s="9" t="s">
        <v>75</v>
      </c>
      <c r="AL56" s="9" t="s">
        <v>75</v>
      </c>
      <c r="AM56" s="9" t="s">
        <v>75</v>
      </c>
      <c r="AN56" s="9" t="n">
        <v>31.3946</v>
      </c>
      <c r="AO56" s="9" t="n">
        <v>37.0302</v>
      </c>
      <c r="AP56" s="9" t="s">
        <v>75</v>
      </c>
      <c r="AQ56" s="9" t="n">
        <v>6.59849</v>
      </c>
      <c r="AR56" s="9" t="n">
        <v>5.73001</v>
      </c>
      <c r="AS56" s="9" t="s">
        <v>75</v>
      </c>
      <c r="AT56" s="9" t="n">
        <v>0.0115</v>
      </c>
      <c r="AU56" s="9" t="n">
        <v>37.6665</v>
      </c>
      <c r="AV56" s="9" t="s">
        <v>75</v>
      </c>
      <c r="AW56" s="9" t="n">
        <v>514.39</v>
      </c>
      <c r="AX56" s="9" t="n">
        <v>703.598</v>
      </c>
      <c r="AY56" s="9" t="s">
        <v>75</v>
      </c>
    </row>
    <row r="57" customFormat="false" ht="15" hidden="false" customHeight="false" outlineLevel="0" collapsed="false">
      <c r="A57" s="9" t="s">
        <v>79</v>
      </c>
      <c r="B57" s="9" t="s">
        <v>76</v>
      </c>
      <c r="C57" s="9" t="n">
        <v>26</v>
      </c>
      <c r="D57" s="9" t="n">
        <v>1</v>
      </c>
      <c r="E57" s="9" t="n">
        <v>1</v>
      </c>
      <c r="F57" s="9" t="n">
        <v>0</v>
      </c>
      <c r="G57" s="9" t="n">
        <v>1</v>
      </c>
      <c r="H57" s="9" t="n">
        <v>1</v>
      </c>
      <c r="I57" s="9" t="n">
        <v>1</v>
      </c>
      <c r="J57" s="9" t="n">
        <v>1</v>
      </c>
      <c r="K57" s="9" t="n">
        <v>1</v>
      </c>
      <c r="L57" s="9" t="n">
        <v>1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505.356</v>
      </c>
      <c r="R57" s="9" t="n">
        <v>656.349</v>
      </c>
      <c r="S57" s="9" t="s">
        <v>75</v>
      </c>
      <c r="T57" s="9" t="n">
        <v>41.6107</v>
      </c>
      <c r="U57" s="9" t="n">
        <v>19.219</v>
      </c>
      <c r="V57" s="9" t="n">
        <v>8400</v>
      </c>
      <c r="W57" s="9" t="n">
        <v>6174</v>
      </c>
      <c r="X57" s="9" t="n">
        <v>99.999</v>
      </c>
      <c r="Y57" s="9" t="n">
        <v>33.523</v>
      </c>
      <c r="Z57" s="9" t="n">
        <v>0.001</v>
      </c>
      <c r="AA57" s="9" t="n">
        <v>37.1155</v>
      </c>
      <c r="AB57" s="9" t="n">
        <v>17.665</v>
      </c>
      <c r="AC57" s="9" t="n">
        <v>17.444</v>
      </c>
      <c r="AD57" s="9" t="n">
        <v>39.632</v>
      </c>
      <c r="AE57" s="9" t="n">
        <v>0.597</v>
      </c>
      <c r="AF57" s="9" t="n">
        <v>16.795</v>
      </c>
      <c r="AG57" s="9" t="n">
        <v>66.747</v>
      </c>
      <c r="AH57" s="9" t="n">
        <v>433.532</v>
      </c>
      <c r="AI57" s="9" t="n">
        <v>0.739</v>
      </c>
      <c r="AJ57" s="9" t="s">
        <v>75</v>
      </c>
      <c r="AK57" s="9" t="s">
        <v>75</v>
      </c>
      <c r="AL57" s="9" t="s">
        <v>75</v>
      </c>
      <c r="AM57" s="9" t="s">
        <v>75</v>
      </c>
      <c r="AN57" s="9" t="n">
        <v>31.3246</v>
      </c>
      <c r="AO57" s="9" t="n">
        <v>36.9437</v>
      </c>
      <c r="AP57" s="9" t="s">
        <v>75</v>
      </c>
      <c r="AQ57" s="9" t="n">
        <v>6.41469</v>
      </c>
      <c r="AR57" s="9" t="n">
        <v>5.67663</v>
      </c>
      <c r="AS57" s="9" t="s">
        <v>75</v>
      </c>
      <c r="AT57" s="9" t="n">
        <v>0.0143564</v>
      </c>
      <c r="AU57" s="9" t="n">
        <v>37.7482</v>
      </c>
      <c r="AV57" s="9" t="s">
        <v>75</v>
      </c>
      <c r="AW57" s="9" t="n">
        <v>511.785</v>
      </c>
      <c r="AX57" s="9" t="n">
        <v>699.774</v>
      </c>
      <c r="AY57" s="9" t="s">
        <v>75</v>
      </c>
    </row>
    <row r="58" customFormat="false" ht="15" hidden="false" customHeight="false" outlineLevel="0" collapsed="false">
      <c r="A58" s="9" t="s">
        <v>79</v>
      </c>
      <c r="B58" s="9" t="s">
        <v>76</v>
      </c>
      <c r="C58" s="9" t="n">
        <v>27</v>
      </c>
      <c r="D58" s="9" t="n">
        <v>1</v>
      </c>
      <c r="E58" s="9" t="n">
        <v>1</v>
      </c>
      <c r="F58" s="9" t="n">
        <v>0</v>
      </c>
      <c r="G58" s="9" t="n">
        <v>1</v>
      </c>
      <c r="H58" s="9" t="n">
        <v>1</v>
      </c>
      <c r="I58" s="9" t="n">
        <v>1</v>
      </c>
      <c r="J58" s="9" t="n">
        <v>1</v>
      </c>
      <c r="K58" s="9" t="n">
        <v>1</v>
      </c>
      <c r="L58" s="9" t="n">
        <v>1</v>
      </c>
      <c r="M58" s="9" t="n">
        <v>0</v>
      </c>
      <c r="N58" s="9" t="n">
        <v>0</v>
      </c>
      <c r="O58" s="9" t="n">
        <v>0</v>
      </c>
      <c r="P58" s="9" t="n">
        <v>0</v>
      </c>
      <c r="Q58" s="9" t="n">
        <v>507.901</v>
      </c>
      <c r="R58" s="9" t="n">
        <v>659.346</v>
      </c>
      <c r="S58" s="9" t="s">
        <v>75</v>
      </c>
      <c r="T58" s="9" t="n">
        <v>41.6358</v>
      </c>
      <c r="U58" s="9" t="n">
        <v>19.4755</v>
      </c>
      <c r="V58" s="9" t="n">
        <v>8294</v>
      </c>
      <c r="W58" s="9" t="n">
        <v>6533</v>
      </c>
      <c r="X58" s="9" t="n">
        <v>100</v>
      </c>
      <c r="Y58" s="9" t="n">
        <v>33.237</v>
      </c>
      <c r="Z58" s="9" t="n">
        <v>0.001</v>
      </c>
      <c r="AA58" s="9" t="n">
        <v>37.2749</v>
      </c>
      <c r="AB58" s="9" t="n">
        <v>17.941</v>
      </c>
      <c r="AC58" s="9" t="n">
        <v>17.547</v>
      </c>
      <c r="AD58" s="9" t="n">
        <v>35.096</v>
      </c>
      <c r="AE58" s="9" t="n">
        <v>0.608</v>
      </c>
      <c r="AF58" s="9" t="n">
        <v>16.602</v>
      </c>
      <c r="AG58" s="9" t="n">
        <v>69.186</v>
      </c>
      <c r="AH58" s="9" t="n">
        <v>481.863</v>
      </c>
      <c r="AI58" s="9" t="n">
        <v>0.734</v>
      </c>
      <c r="AJ58" s="9" t="s">
        <v>75</v>
      </c>
      <c r="AK58" s="9" t="s">
        <v>75</v>
      </c>
      <c r="AL58" s="9" t="s">
        <v>75</v>
      </c>
      <c r="AM58" s="9" t="s">
        <v>75</v>
      </c>
      <c r="AN58" s="9" t="n">
        <v>31.3961</v>
      </c>
      <c r="AO58" s="9" t="n">
        <v>37.1032</v>
      </c>
      <c r="AP58" s="9" t="s">
        <v>75</v>
      </c>
      <c r="AQ58" s="9" t="n">
        <v>6.54671</v>
      </c>
      <c r="AR58" s="9" t="n">
        <v>5.72751</v>
      </c>
      <c r="AS58" s="9" t="s">
        <v>75</v>
      </c>
      <c r="AT58" s="9" t="n">
        <v>0.014512</v>
      </c>
      <c r="AU58" s="9" t="n">
        <v>37.6431</v>
      </c>
      <c r="AV58" s="9" t="s">
        <v>75</v>
      </c>
      <c r="AW58" s="9" t="n">
        <v>514.462</v>
      </c>
      <c r="AX58" s="9" t="n">
        <v>702.716</v>
      </c>
      <c r="AY58" s="9" t="s">
        <v>75</v>
      </c>
    </row>
    <row r="59" customFormat="false" ht="15" hidden="false" customHeight="false" outlineLevel="0" collapsed="false">
      <c r="A59" s="9" t="s">
        <v>79</v>
      </c>
      <c r="B59" s="9" t="s">
        <v>77</v>
      </c>
      <c r="C59" s="9" t="n">
        <v>7</v>
      </c>
      <c r="D59" s="9" t="n">
        <v>1</v>
      </c>
      <c r="E59" s="9" t="n">
        <v>0</v>
      </c>
      <c r="F59" s="9" t="n">
        <v>1</v>
      </c>
      <c r="G59" s="9" t="n">
        <v>1</v>
      </c>
      <c r="H59" s="9" t="n">
        <v>1</v>
      </c>
      <c r="I59" s="9" t="n">
        <v>1</v>
      </c>
      <c r="J59" s="9" t="n">
        <v>1</v>
      </c>
      <c r="K59" s="9" t="n">
        <v>1</v>
      </c>
      <c r="L59" s="9" t="n">
        <v>1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600.662</v>
      </c>
      <c r="R59" s="9" t="s">
        <v>75</v>
      </c>
      <c r="S59" s="9" t="n">
        <v>506.309</v>
      </c>
      <c r="T59" s="9" t="n">
        <v>27.0984</v>
      </c>
      <c r="U59" s="9" t="n">
        <v>11.5926</v>
      </c>
      <c r="V59" s="9" t="n">
        <v>7815</v>
      </c>
      <c r="W59" s="9" t="n">
        <v>4418</v>
      </c>
      <c r="X59" s="9" t="s">
        <v>75</v>
      </c>
      <c r="Y59" s="9" t="s">
        <v>75</v>
      </c>
      <c r="Z59" s="9" t="s">
        <v>75</v>
      </c>
      <c r="AA59" s="9" t="n">
        <v>36.999</v>
      </c>
      <c r="AB59" s="9" t="s">
        <v>75</v>
      </c>
      <c r="AC59" s="9" t="s">
        <v>75</v>
      </c>
      <c r="AD59" s="9" t="s">
        <v>75</v>
      </c>
      <c r="AE59" s="9" t="s">
        <v>75</v>
      </c>
      <c r="AF59" s="9" t="s">
        <v>75</v>
      </c>
      <c r="AG59" s="9" t="s">
        <v>75</v>
      </c>
      <c r="AH59" s="9" t="s">
        <v>75</v>
      </c>
      <c r="AI59" s="9" t="s">
        <v>75</v>
      </c>
      <c r="AJ59" s="9" t="s">
        <v>75</v>
      </c>
      <c r="AK59" s="9" t="s">
        <v>75</v>
      </c>
      <c r="AL59" s="9" t="s">
        <v>75</v>
      </c>
      <c r="AM59" s="9" t="s">
        <v>75</v>
      </c>
      <c r="AN59" s="9" t="n">
        <v>36.9855</v>
      </c>
      <c r="AO59" s="9" t="s">
        <v>75</v>
      </c>
      <c r="AP59" s="9" t="n">
        <v>36.9567</v>
      </c>
      <c r="AQ59" s="9" t="n">
        <v>5.69384</v>
      </c>
      <c r="AR59" s="9" t="s">
        <v>75</v>
      </c>
      <c r="AS59" s="9" t="n">
        <v>5.63348</v>
      </c>
      <c r="AT59" s="9" t="n">
        <v>0.00773233</v>
      </c>
      <c r="AU59" s="9" t="s">
        <v>75</v>
      </c>
      <c r="AV59" s="9" t="n">
        <v>0.157653</v>
      </c>
      <c r="AW59" s="9" t="n">
        <v>606.364</v>
      </c>
      <c r="AX59" s="9" t="s">
        <v>75</v>
      </c>
      <c r="AY59" s="9" t="n">
        <v>512.1</v>
      </c>
    </row>
    <row r="60" customFormat="false" ht="15" hidden="false" customHeight="false" outlineLevel="0" collapsed="false">
      <c r="A60" s="9" t="s">
        <v>79</v>
      </c>
      <c r="B60" s="9" t="s">
        <v>77</v>
      </c>
      <c r="C60" s="9" t="n">
        <v>8</v>
      </c>
      <c r="D60" s="9" t="n">
        <v>1</v>
      </c>
      <c r="E60" s="9" t="n">
        <v>0</v>
      </c>
      <c r="F60" s="9" t="n">
        <v>1</v>
      </c>
      <c r="G60" s="9" t="n">
        <v>1</v>
      </c>
      <c r="H60" s="9" t="n">
        <v>1</v>
      </c>
      <c r="I60" s="9" t="n">
        <v>1</v>
      </c>
      <c r="J60" s="9" t="n">
        <v>1</v>
      </c>
      <c r="K60" s="9" t="n">
        <v>1</v>
      </c>
      <c r="L60" s="9" t="n">
        <v>1</v>
      </c>
      <c r="M60" s="9" t="n">
        <v>0</v>
      </c>
      <c r="N60" s="9" t="n">
        <v>0</v>
      </c>
      <c r="O60" s="9" t="n">
        <v>0</v>
      </c>
      <c r="P60" s="9" t="n">
        <v>0</v>
      </c>
      <c r="Q60" s="9" t="n">
        <v>603.703</v>
      </c>
      <c r="R60" s="9" t="s">
        <v>75</v>
      </c>
      <c r="S60" s="9" t="n">
        <v>509.202</v>
      </c>
      <c r="T60" s="9" t="n">
        <v>27.2353</v>
      </c>
      <c r="U60" s="9" t="n">
        <v>11.5837</v>
      </c>
      <c r="V60" s="9" t="n">
        <v>7865</v>
      </c>
      <c r="W60" s="9" t="n">
        <v>3722</v>
      </c>
      <c r="X60" s="9" t="s">
        <v>75</v>
      </c>
      <c r="Y60" s="9" t="s">
        <v>75</v>
      </c>
      <c r="Z60" s="9" t="s">
        <v>75</v>
      </c>
      <c r="AA60" s="9" t="n">
        <v>37.1858</v>
      </c>
      <c r="AB60" s="9" t="s">
        <v>75</v>
      </c>
      <c r="AC60" s="9" t="s">
        <v>75</v>
      </c>
      <c r="AD60" s="9" t="s">
        <v>75</v>
      </c>
      <c r="AE60" s="9" t="s">
        <v>75</v>
      </c>
      <c r="AF60" s="9" t="s">
        <v>75</v>
      </c>
      <c r="AG60" s="9" t="s">
        <v>75</v>
      </c>
      <c r="AH60" s="9" t="s">
        <v>75</v>
      </c>
      <c r="AI60" s="9" t="s">
        <v>75</v>
      </c>
      <c r="AJ60" s="9" t="s">
        <v>75</v>
      </c>
      <c r="AK60" s="9" t="s">
        <v>75</v>
      </c>
      <c r="AL60" s="9" t="s">
        <v>75</v>
      </c>
      <c r="AM60" s="9" t="s">
        <v>75</v>
      </c>
      <c r="AN60" s="9" t="n">
        <v>37.1713</v>
      </c>
      <c r="AO60" s="9" t="s">
        <v>75</v>
      </c>
      <c r="AP60" s="9" t="n">
        <v>37.1466</v>
      </c>
      <c r="AQ60" s="9" t="n">
        <v>5.72954</v>
      </c>
      <c r="AR60" s="9" t="s">
        <v>75</v>
      </c>
      <c r="AS60" s="9" t="n">
        <v>5.60131</v>
      </c>
      <c r="AT60" s="9" t="n">
        <v>0.00743087</v>
      </c>
      <c r="AU60" s="9" t="s">
        <v>75</v>
      </c>
      <c r="AV60" s="9" t="n">
        <v>0.162379</v>
      </c>
      <c r="AW60" s="9" t="n">
        <v>609.44</v>
      </c>
      <c r="AX60" s="9" t="s">
        <v>75</v>
      </c>
      <c r="AY60" s="9" t="n">
        <v>514.966</v>
      </c>
    </row>
    <row r="61" customFormat="false" ht="15" hidden="false" customHeight="false" outlineLevel="0" collapsed="false">
      <c r="A61" s="9" t="s">
        <v>79</v>
      </c>
      <c r="B61" s="9" t="s">
        <v>77</v>
      </c>
      <c r="C61" s="9" t="n">
        <v>9</v>
      </c>
      <c r="D61" s="9" t="n">
        <v>1</v>
      </c>
      <c r="E61" s="9" t="n">
        <v>0</v>
      </c>
      <c r="F61" s="9" t="n">
        <v>1</v>
      </c>
      <c r="G61" s="9" t="n">
        <v>1</v>
      </c>
      <c r="H61" s="9" t="n">
        <v>1</v>
      </c>
      <c r="I61" s="9" t="n">
        <v>1</v>
      </c>
      <c r="J61" s="9" t="n">
        <v>1</v>
      </c>
      <c r="K61" s="9" t="n">
        <v>1</v>
      </c>
      <c r="L61" s="9" t="n">
        <v>1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604.369</v>
      </c>
      <c r="R61" s="9" t="s">
        <v>75</v>
      </c>
      <c r="S61" s="9" t="n">
        <v>511.079</v>
      </c>
      <c r="T61" s="9" t="n">
        <v>27.0061</v>
      </c>
      <c r="U61" s="9" t="n">
        <v>11.4838</v>
      </c>
      <c r="V61" s="9" t="n">
        <v>7913</v>
      </c>
      <c r="W61" s="9" t="n">
        <v>2989</v>
      </c>
      <c r="X61" s="9" t="s">
        <v>75</v>
      </c>
      <c r="Y61" s="9" t="s">
        <v>75</v>
      </c>
      <c r="Z61" s="9" t="s">
        <v>75</v>
      </c>
      <c r="AA61" s="9" t="n">
        <v>37.2963</v>
      </c>
      <c r="AB61" s="9" t="s">
        <v>75</v>
      </c>
      <c r="AC61" s="9" t="s">
        <v>75</v>
      </c>
      <c r="AD61" s="9" t="s">
        <v>75</v>
      </c>
      <c r="AE61" s="9" t="s">
        <v>75</v>
      </c>
      <c r="AF61" s="9" t="s">
        <v>75</v>
      </c>
      <c r="AG61" s="9" t="s">
        <v>75</v>
      </c>
      <c r="AH61" s="9" t="s">
        <v>75</v>
      </c>
      <c r="AI61" s="9" t="s">
        <v>75</v>
      </c>
      <c r="AJ61" s="9" t="s">
        <v>75</v>
      </c>
      <c r="AK61" s="9" t="s">
        <v>75</v>
      </c>
      <c r="AL61" s="9" t="s">
        <v>75</v>
      </c>
      <c r="AM61" s="9" t="s">
        <v>75</v>
      </c>
      <c r="AN61" s="9" t="n">
        <v>37.2201</v>
      </c>
      <c r="AO61" s="9" t="s">
        <v>75</v>
      </c>
      <c r="AP61" s="9" t="n">
        <v>37.2783</v>
      </c>
      <c r="AQ61" s="9" t="n">
        <v>5.52023</v>
      </c>
      <c r="AR61" s="9" t="s">
        <v>75</v>
      </c>
      <c r="AS61" s="9" t="n">
        <v>5.47894</v>
      </c>
      <c r="AT61" s="9" t="n">
        <v>0.00916271</v>
      </c>
      <c r="AU61" s="9" t="s">
        <v>75</v>
      </c>
      <c r="AV61" s="9" t="n">
        <v>0.154448</v>
      </c>
      <c r="AW61" s="9" t="n">
        <v>609.898</v>
      </c>
      <c r="AX61" s="9" t="s">
        <v>75</v>
      </c>
      <c r="AY61" s="9" t="n">
        <v>516.713</v>
      </c>
    </row>
    <row r="62" customFormat="false" ht="15" hidden="false" customHeight="false" outlineLevel="0" collapsed="false">
      <c r="A62" s="9" t="s">
        <v>79</v>
      </c>
      <c r="B62" s="9" t="s">
        <v>77</v>
      </c>
      <c r="C62" s="9" t="n">
        <v>28</v>
      </c>
      <c r="D62" s="9" t="n">
        <v>1</v>
      </c>
      <c r="E62" s="9" t="n">
        <v>0</v>
      </c>
      <c r="F62" s="9" t="n">
        <v>1</v>
      </c>
      <c r="G62" s="9" t="n">
        <v>1</v>
      </c>
      <c r="H62" s="9" t="n">
        <v>1</v>
      </c>
      <c r="I62" s="9" t="n">
        <v>1</v>
      </c>
      <c r="J62" s="9" t="n">
        <v>1</v>
      </c>
      <c r="K62" s="9" t="n">
        <v>1</v>
      </c>
      <c r="L62" s="9" t="n">
        <v>1</v>
      </c>
      <c r="M62" s="9" t="n">
        <v>0</v>
      </c>
      <c r="N62" s="9" t="n">
        <v>0</v>
      </c>
      <c r="O62" s="9" t="n">
        <v>0</v>
      </c>
      <c r="P62" s="9" t="n">
        <v>0</v>
      </c>
      <c r="Q62" s="9" t="n">
        <v>530.594</v>
      </c>
      <c r="R62" s="9" t="s">
        <v>75</v>
      </c>
      <c r="S62" s="9" t="n">
        <v>445.586</v>
      </c>
      <c r="T62" s="9" t="n">
        <v>26.5149</v>
      </c>
      <c r="U62" s="9" t="n">
        <v>18.5541</v>
      </c>
      <c r="V62" s="9" t="n">
        <v>7867</v>
      </c>
      <c r="W62" s="9" t="n">
        <v>3117</v>
      </c>
      <c r="X62" s="9" t="n">
        <v>99.999</v>
      </c>
      <c r="Y62" s="9" t="n">
        <v>39.093</v>
      </c>
      <c r="Z62" s="9" t="n">
        <v>0.001</v>
      </c>
      <c r="AA62" s="9" t="n">
        <v>32.5085</v>
      </c>
      <c r="AB62" s="9" t="n">
        <v>19.53</v>
      </c>
      <c r="AC62" s="9" t="n">
        <v>15.351</v>
      </c>
      <c r="AD62" s="9" t="n">
        <v>22.969</v>
      </c>
      <c r="AE62" s="9" t="n">
        <v>0.522</v>
      </c>
      <c r="AF62" s="9" t="s">
        <v>75</v>
      </c>
      <c r="AG62" s="9" t="s">
        <v>75</v>
      </c>
      <c r="AH62" s="9" t="s">
        <v>75</v>
      </c>
      <c r="AI62" s="9" t="s">
        <v>75</v>
      </c>
      <c r="AJ62" s="9" t="n">
        <v>19.563</v>
      </c>
      <c r="AK62" s="9" t="n">
        <v>15.29</v>
      </c>
      <c r="AL62" s="9" t="n">
        <v>45.697</v>
      </c>
      <c r="AM62" s="9" t="n">
        <v>0.577</v>
      </c>
      <c r="AN62" s="9" t="n">
        <v>32.4948</v>
      </c>
      <c r="AO62" s="9" t="s">
        <v>75</v>
      </c>
      <c r="AP62" s="9" t="n">
        <v>32.4839</v>
      </c>
      <c r="AQ62" s="9" t="n">
        <v>5.51886</v>
      </c>
      <c r="AR62" s="9" t="s">
        <v>75</v>
      </c>
      <c r="AS62" s="9" t="n">
        <v>5.57384</v>
      </c>
      <c r="AT62" s="9" t="n">
        <v>0.00716497</v>
      </c>
      <c r="AU62" s="9" t="s">
        <v>75</v>
      </c>
      <c r="AV62" s="9" t="n">
        <v>0.156354</v>
      </c>
      <c r="AW62" s="9" t="n">
        <v>536.12</v>
      </c>
      <c r="AX62" s="9" t="s">
        <v>75</v>
      </c>
      <c r="AY62" s="9" t="n">
        <v>451.316</v>
      </c>
    </row>
    <row r="63" customFormat="false" ht="15" hidden="false" customHeight="false" outlineLevel="0" collapsed="false">
      <c r="A63" s="9" t="s">
        <v>79</v>
      </c>
      <c r="B63" s="9" t="s">
        <v>77</v>
      </c>
      <c r="C63" s="9" t="n">
        <v>29</v>
      </c>
      <c r="D63" s="9" t="n">
        <v>1</v>
      </c>
      <c r="E63" s="9" t="n">
        <v>0</v>
      </c>
      <c r="F63" s="9" t="n">
        <v>1</v>
      </c>
      <c r="G63" s="9" t="n">
        <v>1</v>
      </c>
      <c r="H63" s="9" t="n">
        <v>1</v>
      </c>
      <c r="I63" s="9" t="n">
        <v>1</v>
      </c>
      <c r="J63" s="9" t="n">
        <v>1</v>
      </c>
      <c r="K63" s="9" t="n">
        <v>1</v>
      </c>
      <c r="L63" s="9" t="n">
        <v>1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528.251</v>
      </c>
      <c r="R63" s="9" t="s">
        <v>75</v>
      </c>
      <c r="S63" s="9" t="n">
        <v>443.545</v>
      </c>
      <c r="T63" s="9" t="n">
        <v>26.5689</v>
      </c>
      <c r="U63" s="9" t="n">
        <v>18.5817</v>
      </c>
      <c r="V63" s="9" t="n">
        <v>7889</v>
      </c>
      <c r="W63" s="9" t="n">
        <v>3819</v>
      </c>
      <c r="X63" s="9" t="n">
        <v>99.986</v>
      </c>
      <c r="Y63" s="9" t="n">
        <v>39.424</v>
      </c>
      <c r="Z63" s="9" t="n">
        <v>0.013</v>
      </c>
      <c r="AA63" s="9" t="n">
        <v>32.3833</v>
      </c>
      <c r="AB63" s="9" t="n">
        <v>19.695</v>
      </c>
      <c r="AC63" s="9" t="n">
        <v>15.232</v>
      </c>
      <c r="AD63" s="9" t="n">
        <v>23.778</v>
      </c>
      <c r="AE63" s="9" t="n">
        <v>0.538</v>
      </c>
      <c r="AF63" s="9" t="s">
        <v>75</v>
      </c>
      <c r="AG63" s="9" t="s">
        <v>75</v>
      </c>
      <c r="AH63" s="9" t="s">
        <v>75</v>
      </c>
      <c r="AI63" s="9" t="s">
        <v>75</v>
      </c>
      <c r="AJ63" s="9" t="n">
        <v>19.729</v>
      </c>
      <c r="AK63" s="9" t="n">
        <v>15.283</v>
      </c>
      <c r="AL63" s="9" t="n">
        <v>42.211</v>
      </c>
      <c r="AM63" s="9" t="n">
        <v>0.593</v>
      </c>
      <c r="AN63" s="9" t="n">
        <v>32.3694</v>
      </c>
      <c r="AO63" s="9" t="s">
        <v>75</v>
      </c>
      <c r="AP63" s="9" t="n">
        <v>32.3586</v>
      </c>
      <c r="AQ63" s="9" t="n">
        <v>5.71912</v>
      </c>
      <c r="AR63" s="9" t="s">
        <v>75</v>
      </c>
      <c r="AS63" s="9" t="n">
        <v>5.7683</v>
      </c>
      <c r="AT63" s="9" t="n">
        <v>0.00955232</v>
      </c>
      <c r="AU63" s="9" t="s">
        <v>75</v>
      </c>
      <c r="AV63" s="9" t="n">
        <v>0.167798</v>
      </c>
      <c r="AW63" s="9" t="n">
        <v>533.979</v>
      </c>
      <c r="AX63" s="9" t="s">
        <v>75</v>
      </c>
      <c r="AY63" s="9" t="n">
        <v>449.481</v>
      </c>
    </row>
    <row r="64" customFormat="false" ht="15" hidden="false" customHeight="false" outlineLevel="0" collapsed="false">
      <c r="A64" s="9" t="s">
        <v>79</v>
      </c>
      <c r="B64" s="9" t="s">
        <v>77</v>
      </c>
      <c r="C64" s="9" t="n">
        <v>30</v>
      </c>
      <c r="D64" s="9" t="n">
        <v>1</v>
      </c>
      <c r="E64" s="9" t="n">
        <v>0</v>
      </c>
      <c r="F64" s="9" t="n">
        <v>1</v>
      </c>
      <c r="G64" s="9" t="n">
        <v>1</v>
      </c>
      <c r="H64" s="9" t="n">
        <v>1</v>
      </c>
      <c r="I64" s="9" t="n">
        <v>1</v>
      </c>
      <c r="J64" s="9" t="n">
        <v>1</v>
      </c>
      <c r="K64" s="9" t="n">
        <v>1</v>
      </c>
      <c r="L64" s="9" t="n">
        <v>1</v>
      </c>
      <c r="M64" s="9" t="n">
        <v>0</v>
      </c>
      <c r="N64" s="9" t="n">
        <v>0</v>
      </c>
      <c r="O64" s="9" t="n">
        <v>0</v>
      </c>
      <c r="P64" s="9" t="n">
        <v>0</v>
      </c>
      <c r="Q64" s="9" t="n">
        <v>528.816</v>
      </c>
      <c r="R64" s="9" t="s">
        <v>75</v>
      </c>
      <c r="S64" s="9" t="n">
        <v>443.957</v>
      </c>
      <c r="T64" s="9" t="n">
        <v>26.3529</v>
      </c>
      <c r="U64" s="9" t="n">
        <v>18.6046</v>
      </c>
      <c r="V64" s="9" t="n">
        <v>7911</v>
      </c>
      <c r="W64" s="9" t="n">
        <v>3799</v>
      </c>
      <c r="X64" s="9" t="n">
        <v>99.998</v>
      </c>
      <c r="Y64" s="9" t="n">
        <v>39.354</v>
      </c>
      <c r="Z64" s="9" t="n">
        <v>0.001</v>
      </c>
      <c r="AA64" s="9" t="n">
        <v>32.3986</v>
      </c>
      <c r="AB64" s="9" t="n">
        <v>19.66</v>
      </c>
      <c r="AC64" s="9" t="n">
        <v>15.359</v>
      </c>
      <c r="AD64" s="9" t="n">
        <v>23.479</v>
      </c>
      <c r="AE64" s="9" t="n">
        <v>0.524</v>
      </c>
      <c r="AF64" s="9" t="s">
        <v>75</v>
      </c>
      <c r="AG64" s="9" t="s">
        <v>75</v>
      </c>
      <c r="AH64" s="9" t="s">
        <v>75</v>
      </c>
      <c r="AI64" s="9" t="s">
        <v>75</v>
      </c>
      <c r="AJ64" s="9" t="n">
        <v>19.694</v>
      </c>
      <c r="AK64" s="9" t="n">
        <v>15.069</v>
      </c>
      <c r="AL64" s="9" t="n">
        <v>38.213</v>
      </c>
      <c r="AM64" s="9" t="n">
        <v>0.561</v>
      </c>
      <c r="AN64" s="9" t="n">
        <v>32.3843</v>
      </c>
      <c r="AO64" s="9" t="s">
        <v>75</v>
      </c>
      <c r="AP64" s="9" t="n">
        <v>32.3745</v>
      </c>
      <c r="AQ64" s="9" t="n">
        <v>5.48056</v>
      </c>
      <c r="AR64" s="9" t="s">
        <v>75</v>
      </c>
      <c r="AS64" s="9" t="n">
        <v>5.56027</v>
      </c>
      <c r="AT64" s="9" t="n">
        <v>0.00804648</v>
      </c>
      <c r="AU64" s="9" t="s">
        <v>75</v>
      </c>
      <c r="AV64" s="9" t="n">
        <v>0.155514</v>
      </c>
      <c r="AW64" s="9" t="n">
        <v>534.305</v>
      </c>
      <c r="AX64" s="9" t="s">
        <v>75</v>
      </c>
      <c r="AY64" s="9" t="n">
        <v>449.673</v>
      </c>
    </row>
    <row r="65" customFormat="false" ht="15" hidden="false" customHeight="false" outlineLevel="0" collapsed="false">
      <c r="A65" s="9" t="s">
        <v>79</v>
      </c>
      <c r="B65" s="9" t="s">
        <v>78</v>
      </c>
      <c r="C65" s="9" t="n">
        <v>10</v>
      </c>
      <c r="D65" s="9" t="n">
        <v>1</v>
      </c>
      <c r="E65" s="9" t="n">
        <v>1</v>
      </c>
      <c r="F65" s="9" t="n">
        <v>1</v>
      </c>
      <c r="G65" s="9" t="n">
        <v>1</v>
      </c>
      <c r="H65" s="9" t="n">
        <v>1</v>
      </c>
      <c r="I65" s="9" t="n">
        <v>1</v>
      </c>
      <c r="J65" s="9" t="n">
        <v>1</v>
      </c>
      <c r="K65" s="9" t="n">
        <v>1</v>
      </c>
      <c r="L65" s="9" t="n">
        <v>1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1536.89</v>
      </c>
      <c r="R65" s="9" t="n">
        <v>1303.99</v>
      </c>
      <c r="S65" s="9" t="n">
        <v>1285.92</v>
      </c>
      <c r="T65" s="9" t="n">
        <v>33.3976</v>
      </c>
      <c r="U65" s="9" t="n">
        <v>13.5772</v>
      </c>
      <c r="V65" s="9" t="n">
        <v>14945</v>
      </c>
      <c r="W65" s="9" t="n">
        <v>8865</v>
      </c>
      <c r="X65" s="9" t="n">
        <v>100</v>
      </c>
      <c r="Y65" s="9" t="n">
        <v>19.909</v>
      </c>
      <c r="Z65" s="9" t="n">
        <v>0</v>
      </c>
      <c r="AA65" s="9" t="n">
        <v>93.9967</v>
      </c>
      <c r="AB65" s="9" t="n">
        <v>6.625</v>
      </c>
      <c r="AC65" s="9" t="n">
        <v>20.218</v>
      </c>
      <c r="AD65" s="9" t="n">
        <v>40.756</v>
      </c>
      <c r="AE65" s="9" t="n">
        <v>0.594</v>
      </c>
      <c r="AF65" s="9" t="n">
        <v>6.636</v>
      </c>
      <c r="AG65" s="9" t="n">
        <v>36.711</v>
      </c>
      <c r="AH65" s="9" t="n">
        <v>86.947</v>
      </c>
      <c r="AI65" s="9" t="n">
        <v>0.577</v>
      </c>
      <c r="AJ65" s="9" t="n">
        <v>6.636</v>
      </c>
      <c r="AK65" s="9" t="n">
        <v>20.56</v>
      </c>
      <c r="AL65" s="9" t="n">
        <v>98.597</v>
      </c>
      <c r="AM65" s="9" t="n">
        <v>0.597</v>
      </c>
      <c r="AN65" s="9" t="n">
        <v>93.7566</v>
      </c>
      <c r="AO65" s="9" t="n">
        <v>93.8268</v>
      </c>
      <c r="AP65" s="9" t="n">
        <v>93.7481</v>
      </c>
      <c r="AQ65" s="9" t="n">
        <v>5.81084</v>
      </c>
      <c r="AR65" s="9" t="n">
        <v>5.16821</v>
      </c>
      <c r="AS65" s="9" t="n">
        <v>6.3912</v>
      </c>
      <c r="AT65" s="9" t="n">
        <v>0.00865411</v>
      </c>
      <c r="AU65" s="9" t="n">
        <v>38.6321</v>
      </c>
      <c r="AV65" s="9" t="n">
        <v>0.154218</v>
      </c>
      <c r="AW65" s="9" t="n">
        <v>1542.71</v>
      </c>
      <c r="AX65" s="9" t="n">
        <v>1347.79</v>
      </c>
      <c r="AY65" s="9" t="n">
        <v>1292.46</v>
      </c>
    </row>
    <row r="66" customFormat="false" ht="15" hidden="false" customHeight="false" outlineLevel="0" collapsed="false">
      <c r="A66" s="9" t="s">
        <v>79</v>
      </c>
      <c r="B66" s="9" t="s">
        <v>78</v>
      </c>
      <c r="C66" s="9" t="n">
        <v>11</v>
      </c>
      <c r="D66" s="9" t="n">
        <v>1</v>
      </c>
      <c r="E66" s="9" t="n">
        <v>1</v>
      </c>
      <c r="F66" s="9" t="n">
        <v>1</v>
      </c>
      <c r="G66" s="9" t="n">
        <v>1</v>
      </c>
      <c r="H66" s="9" t="n">
        <v>1</v>
      </c>
      <c r="I66" s="9" t="n">
        <v>1</v>
      </c>
      <c r="J66" s="9" t="n">
        <v>1</v>
      </c>
      <c r="K66" s="9" t="n">
        <v>1</v>
      </c>
      <c r="L66" s="9" t="n">
        <v>1</v>
      </c>
      <c r="M66" s="9" t="n">
        <v>0</v>
      </c>
      <c r="N66" s="9" t="n">
        <v>0</v>
      </c>
      <c r="O66" s="9" t="n">
        <v>0</v>
      </c>
      <c r="P66" s="9" t="n">
        <v>0</v>
      </c>
      <c r="Q66" s="9" t="n">
        <v>1542.02</v>
      </c>
      <c r="R66" s="9" t="n">
        <v>1307.74</v>
      </c>
      <c r="S66" s="9" t="n">
        <v>1290.33</v>
      </c>
      <c r="T66" s="9" t="n">
        <v>33.4106</v>
      </c>
      <c r="U66" s="9" t="n">
        <v>12.8616</v>
      </c>
      <c r="V66" s="9" t="n">
        <v>14899</v>
      </c>
      <c r="W66" s="9" t="n">
        <v>8304</v>
      </c>
      <c r="X66" s="9" t="n">
        <v>100</v>
      </c>
      <c r="Y66" s="9" t="n">
        <v>19.727</v>
      </c>
      <c r="Z66" s="9" t="n">
        <v>0.001</v>
      </c>
      <c r="AA66" s="9" t="n">
        <v>94.3236</v>
      </c>
      <c r="AB66" s="9" t="n">
        <v>6.568</v>
      </c>
      <c r="AC66" s="9" t="n">
        <v>20.363</v>
      </c>
      <c r="AD66" s="9" t="n">
        <v>39.116</v>
      </c>
      <c r="AE66" s="9" t="n">
        <v>0.581</v>
      </c>
      <c r="AF66" s="9" t="n">
        <v>6.579</v>
      </c>
      <c r="AG66" s="9" t="n">
        <v>36.814</v>
      </c>
      <c r="AH66" s="9" t="n">
        <v>74.153</v>
      </c>
      <c r="AI66" s="9" t="n">
        <v>0.584</v>
      </c>
      <c r="AJ66" s="9" t="n">
        <v>6.579</v>
      </c>
      <c r="AK66" s="9" t="n">
        <v>21.052</v>
      </c>
      <c r="AL66" s="9" t="n">
        <v>98.65</v>
      </c>
      <c r="AM66" s="9" t="n">
        <v>0.615</v>
      </c>
      <c r="AN66" s="9" t="n">
        <v>94.0686</v>
      </c>
      <c r="AO66" s="9" t="n">
        <v>94.1503</v>
      </c>
      <c r="AP66" s="9" t="n">
        <v>94.0612</v>
      </c>
      <c r="AQ66" s="9" t="n">
        <v>5.7659</v>
      </c>
      <c r="AR66" s="9" t="n">
        <v>5.16404</v>
      </c>
      <c r="AS66" s="9" t="n">
        <v>6.24405</v>
      </c>
      <c r="AT66" s="9" t="n">
        <v>0.00812919</v>
      </c>
      <c r="AU66" s="9" t="n">
        <v>38.4717</v>
      </c>
      <c r="AV66" s="9" t="n">
        <v>0.154389</v>
      </c>
      <c r="AW66" s="9" t="n">
        <v>1547.8</v>
      </c>
      <c r="AX66" s="9" t="n">
        <v>1351.38</v>
      </c>
      <c r="AY66" s="9" t="n">
        <v>1296.72</v>
      </c>
    </row>
    <row r="67" customFormat="false" ht="15" hidden="false" customHeight="false" outlineLevel="0" collapsed="false">
      <c r="A67" s="9" t="s">
        <v>79</v>
      </c>
      <c r="B67" s="9" t="s">
        <v>78</v>
      </c>
      <c r="C67" s="9" t="n">
        <v>12</v>
      </c>
      <c r="D67" s="9" t="n">
        <v>1</v>
      </c>
      <c r="E67" s="9" t="n">
        <v>1</v>
      </c>
      <c r="F67" s="9" t="n">
        <v>1</v>
      </c>
      <c r="G67" s="9" t="n">
        <v>1</v>
      </c>
      <c r="H67" s="9" t="n">
        <v>1</v>
      </c>
      <c r="I67" s="9" t="n">
        <v>1</v>
      </c>
      <c r="J67" s="9" t="n">
        <v>1</v>
      </c>
      <c r="K67" s="9" t="n">
        <v>1</v>
      </c>
      <c r="L67" s="9" t="n">
        <v>1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1541.91</v>
      </c>
      <c r="R67" s="9" t="n">
        <v>1307.96</v>
      </c>
      <c r="S67" s="9" t="n">
        <v>1290.22</v>
      </c>
      <c r="T67" s="9" t="n">
        <v>33.806</v>
      </c>
      <c r="U67" s="9" t="n">
        <v>13.413</v>
      </c>
      <c r="V67" s="9" t="n">
        <v>14786</v>
      </c>
      <c r="W67" s="9" t="n">
        <v>9308</v>
      </c>
      <c r="X67" s="9" t="n">
        <v>99.997</v>
      </c>
      <c r="Y67" s="9" t="n">
        <v>19.731</v>
      </c>
      <c r="Z67" s="9" t="n">
        <v>0.003</v>
      </c>
      <c r="AA67" s="9" t="n">
        <v>94.3205</v>
      </c>
      <c r="AB67" s="9" t="n">
        <v>6.569</v>
      </c>
      <c r="AC67" s="9" t="n">
        <v>20.286</v>
      </c>
      <c r="AD67" s="9" t="n">
        <v>42.74</v>
      </c>
      <c r="AE67" s="9" t="n">
        <v>0.588</v>
      </c>
      <c r="AF67" s="9" t="n">
        <v>6.581</v>
      </c>
      <c r="AG67" s="9" t="n">
        <v>36.985</v>
      </c>
      <c r="AH67" s="9" t="n">
        <v>71.609</v>
      </c>
      <c r="AI67" s="9" t="n">
        <v>0.586</v>
      </c>
      <c r="AJ67" s="9" t="n">
        <v>6.569</v>
      </c>
      <c r="AK67" s="9" t="n">
        <v>19.701</v>
      </c>
      <c r="AL67" s="9" t="n">
        <v>99.387</v>
      </c>
      <c r="AM67" s="9" t="n">
        <v>0.602</v>
      </c>
      <c r="AN67" s="9" t="n">
        <v>94.07</v>
      </c>
      <c r="AO67" s="9" t="n">
        <v>94.1486</v>
      </c>
      <c r="AP67" s="9" t="n">
        <v>94.0605</v>
      </c>
      <c r="AQ67" s="9" t="n">
        <v>5.75117</v>
      </c>
      <c r="AR67" s="9" t="n">
        <v>5.14749</v>
      </c>
      <c r="AS67" s="9" t="n">
        <v>6.28093</v>
      </c>
      <c r="AT67" s="9" t="n">
        <v>0.0121653</v>
      </c>
      <c r="AU67" s="9" t="n">
        <v>38.5851</v>
      </c>
      <c r="AV67" s="9" t="n">
        <v>0.152778</v>
      </c>
      <c r="AW67" s="9" t="n">
        <v>1547.68</v>
      </c>
      <c r="AX67" s="9" t="n">
        <v>1351.69</v>
      </c>
      <c r="AY67" s="9" t="n">
        <v>1296.66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2" min="1" style="0" width="15"/>
  </cols>
  <sheetData>
    <row r="1" customFormat="false" ht="15" hidden="false" customHeight="false" outlineLevel="0" collapsed="false">
      <c r="A1" s="8" t="s">
        <v>23</v>
      </c>
      <c r="B1" s="8" t="s">
        <v>24</v>
      </c>
      <c r="C1" s="8" t="s">
        <v>80</v>
      </c>
      <c r="D1" s="8" t="s">
        <v>81</v>
      </c>
      <c r="E1" s="8" t="s">
        <v>82</v>
      </c>
      <c r="F1" s="8" t="s">
        <v>83</v>
      </c>
      <c r="G1" s="8" t="s">
        <v>84</v>
      </c>
      <c r="H1" s="8" t="s">
        <v>85</v>
      </c>
      <c r="I1" s="8" t="s">
        <v>86</v>
      </c>
      <c r="J1" s="8" t="s">
        <v>87</v>
      </c>
      <c r="K1" s="8" t="s">
        <v>88</v>
      </c>
      <c r="L1" s="8" t="s">
        <v>89</v>
      </c>
      <c r="M1" s="8" t="s">
        <v>90</v>
      </c>
      <c r="N1" s="8" t="s">
        <v>91</v>
      </c>
      <c r="O1" s="8" t="s">
        <v>92</v>
      </c>
      <c r="P1" s="8" t="s">
        <v>93</v>
      </c>
      <c r="Q1" s="8" t="s">
        <v>94</v>
      </c>
      <c r="R1" s="8" t="s">
        <v>95</v>
      </c>
      <c r="S1" s="8" t="s">
        <v>96</v>
      </c>
      <c r="T1" s="8" t="s">
        <v>97</v>
      </c>
      <c r="U1" s="8" t="s">
        <v>98</v>
      </c>
      <c r="V1" s="8" t="s">
        <v>99</v>
      </c>
      <c r="W1" s="8" t="s">
        <v>100</v>
      </c>
      <c r="X1" s="8" t="s">
        <v>101</v>
      </c>
      <c r="Y1" s="8" t="s">
        <v>102</v>
      </c>
      <c r="Z1" s="8" t="s">
        <v>103</v>
      </c>
      <c r="AA1" s="8" t="s">
        <v>104</v>
      </c>
      <c r="AB1" s="8" t="s">
        <v>105</v>
      </c>
      <c r="AC1" s="8" t="s">
        <v>106</v>
      </c>
      <c r="AD1" s="8" t="s">
        <v>107</v>
      </c>
      <c r="AE1" s="8" t="s">
        <v>108</v>
      </c>
      <c r="AF1" s="8" t="s">
        <v>109</v>
      </c>
      <c r="AG1" s="8" t="s">
        <v>110</v>
      </c>
      <c r="AH1" s="8" t="s">
        <v>111</v>
      </c>
      <c r="AI1" s="8" t="s">
        <v>112</v>
      </c>
      <c r="AJ1" s="8" t="s">
        <v>113</v>
      </c>
      <c r="AK1" s="8" t="s">
        <v>114</v>
      </c>
      <c r="AL1" s="8" t="s">
        <v>115</v>
      </c>
      <c r="AM1" s="8" t="s">
        <v>116</v>
      </c>
      <c r="AN1" s="8" t="s">
        <v>117</v>
      </c>
      <c r="AO1" s="8" t="s">
        <v>118</v>
      </c>
      <c r="AP1" s="8" t="s">
        <v>119</v>
      </c>
      <c r="AQ1" s="8" t="s">
        <v>120</v>
      </c>
      <c r="AR1" s="8" t="s">
        <v>121</v>
      </c>
      <c r="AS1" s="8" t="s">
        <v>122</v>
      </c>
      <c r="AT1" s="8" t="s">
        <v>123</v>
      </c>
      <c r="AU1" s="8" t="s">
        <v>124</v>
      </c>
      <c r="AV1" s="8" t="s">
        <v>125</v>
      </c>
      <c r="AW1" s="8" t="s">
        <v>126</v>
      </c>
      <c r="AX1" s="8" t="s">
        <v>127</v>
      </c>
      <c r="AY1" s="8" t="s">
        <v>128</v>
      </c>
      <c r="AZ1" s="8" t="s">
        <v>129</v>
      </c>
    </row>
    <row r="2" customFormat="false" ht="15" hidden="false" customHeight="false" outlineLevel="0" collapsed="false">
      <c r="A2" s="10" t="s">
        <v>73</v>
      </c>
      <c r="B2" s="10" t="s">
        <v>74</v>
      </c>
      <c r="C2" s="10" t="n">
        <f aca="false">COUNTIFS(전체!$A$2:$A$67,$A2,전체!$B$2:$B$67,$B2)</f>
        <v>18</v>
      </c>
      <c r="D2" s="10" t="n">
        <f aca="false">COUNTIFS(전체!$A$2:$A$67,$A2,전체!$B$2:$B$67,$B2,전체!$X$2:$X$67,"&lt;&gt;NaN")</f>
        <v>3</v>
      </c>
      <c r="E2" s="11" t="n">
        <f aca="false">IFERROR(AVERAGEIFS(전체!$D$2:$D$67,전체!$A$2:$A$67,$A2,전체!$B$2:$B$67,$B2),"-")</f>
        <v>1</v>
      </c>
      <c r="F2" s="11" t="n">
        <f aca="false">IFERROR(AVERAGEIFS(전체!$E$2:$E$67,전체!$A$2:$A$67,$A2,전체!$B$2:$B$67,$B2),"-")</f>
        <v>0</v>
      </c>
      <c r="G2" s="11" t="n">
        <f aca="false">IFERROR(AVERAGEIFS(전체!$F$2:$F$67,전체!$A$2:$A$67,$A2,전체!$B$2:$B$67,$B2),"-")</f>
        <v>0</v>
      </c>
      <c r="H2" s="11" t="n">
        <f aca="false">IFERROR(AVERAGEIFS(전체!$G$2:$G$67,전체!$A$2:$A$67,$A2,전체!$B$2:$B$67,$B2),"-")</f>
        <v>1</v>
      </c>
      <c r="I2" s="11" t="n">
        <f aca="false">IFERROR(AVERAGEIFS(전체!$H$2:$H$67,전체!$A$2:$A$67,$A2,전체!$B$2:$B$67,$B2),"-")</f>
        <v>1</v>
      </c>
      <c r="J2" s="11" t="n">
        <f aca="false">IFERROR(AVERAGEIFS(전체!$I$2:$I$67,전체!$A$2:$A$67,$A2,전체!$B$2:$B$67,$B2),"-")</f>
        <v>1</v>
      </c>
      <c r="K2" s="11" t="n">
        <f aca="false">IFERROR(AVERAGEIFS(전체!$J$2:$J$67,전체!$A$2:$A$67,$A2,전체!$B$2:$B$67,$B2),"-")</f>
        <v>1</v>
      </c>
      <c r="L2" s="11" t="n">
        <f aca="false">IFERROR(AVERAGEIFS(전체!$K$2:$K$67,전체!$A$2:$A$67,$A2,전체!$B$2:$B$67,$B2),"-")</f>
        <v>1</v>
      </c>
      <c r="M2" s="11" t="n">
        <f aca="false">IFERROR(AVERAGEIFS(전체!$L$2:$L$67,전체!$A$2:$A$67,$A2,전체!$B$2:$B$67,$B2),"-")</f>
        <v>1</v>
      </c>
      <c r="N2" s="11" t="n">
        <f aca="false">IFERROR(AVERAGEIFS(전체!$M$2:$M$67,전체!$A$2:$A$67,$A2,전체!$B$2:$B$67,$B2),"-")</f>
        <v>0</v>
      </c>
      <c r="O2" s="11" t="n">
        <f aca="false">IFERROR(AVERAGEIFS(전체!$N$2:$N$67,전체!$A$2:$A$67,$A2,전체!$B$2:$B$67,$B2),"-")</f>
        <v>0</v>
      </c>
      <c r="P2" s="11" t="n">
        <f aca="false">IFERROR(AVERAGEIFS(전체!$O$2:$O$67,전체!$A$2:$A$67,$A2,전체!$B$2:$B$67,$B2),"-")</f>
        <v>0</v>
      </c>
      <c r="Q2" s="11" t="n">
        <f aca="false">IFERROR(AVERAGEIFS(전체!$P$2:$P$67,전체!$A$2:$A$67,$A2,전체!$B$2:$B$67,$B2),"-")</f>
        <v>0</v>
      </c>
      <c r="R2" s="11" t="n">
        <f aca="false">IFERROR(AVERAGEIFS(전체!$Q$2:$Q$67,전체!$A$2:$A$67,$A2,전체!$B$2:$B$67,$B2),"-")</f>
        <v>152.771222222222</v>
      </c>
      <c r="S2" s="11" t="str">
        <f aca="false">IFERROR(AVERAGEIFS(전체!$R$2:$R$67,전체!$A$2:$A$67,$A2,전체!$B$2:$B$67,$B2),"-")</f>
        <v>-</v>
      </c>
      <c r="T2" s="11" t="str">
        <f aca="false">IFERROR(AVERAGEIFS(전체!$S$2:$S$67,전체!$A$2:$A$67,$A2,전체!$B$2:$B$67,$B2),"-")</f>
        <v>-</v>
      </c>
      <c r="U2" s="11" t="n">
        <f aca="false">IFERROR(AVERAGEIFS(전체!$T$2:$T$67,전체!$A$2:$A$67,$A2,전체!$B$2:$B$67,$B2),"-")</f>
        <v>23.0963777777778</v>
      </c>
      <c r="V2" s="11" t="n">
        <f aca="false">IFERROR(AVERAGEIFS(전체!$U$2:$U$67,전체!$A$2:$A$67,$A2,전체!$B$2:$B$67,$B2),"-")</f>
        <v>25.7646</v>
      </c>
      <c r="W2" s="11" t="n">
        <f aca="false">IFERROR(AVERAGEIFS(전체!$V$2:$V$67,전체!$A$2:$A$67,$A2,전체!$B$2:$B$67,$B2),"-")</f>
        <v>1336.33333333333</v>
      </c>
      <c r="X2" s="11" t="n">
        <f aca="false">IFERROR(AVERAGEIFS(전체!$W$2:$W$67,전체!$A$2:$A$67,$A2,전체!$B$2:$B$67,$B2),"-")</f>
        <v>717.055555555556</v>
      </c>
      <c r="Y2" s="11" t="n">
        <f aca="false">IFERROR(AVERAGEIFS(전체!$X$2:$X$67,전체!$A$2:$A$67,$A2,전체!$B$2:$B$67,$B2),"-")</f>
        <v>99.3366666666667</v>
      </c>
      <c r="Z2" s="11" t="n">
        <f aca="false">IFERROR(AVERAGEIFS(전체!$Y$2:$Y$67,전체!$A$2:$A$67,$A2,전체!$B$2:$B$67,$B2),"-")</f>
        <v>0.358666666666667</v>
      </c>
      <c r="AA2" s="11" t="n">
        <f aca="false">IFERROR(AVERAGEIFS(전체!$Z$2:$Z$67,전체!$A$2:$A$67,$A2,전체!$B$2:$B$67,$B2),"-")</f>
        <v>0.663333333333333</v>
      </c>
      <c r="AB2" s="11" t="n">
        <f aca="false">IFERROR(AVERAGEIFS(전체!$AA$2:$AA$67,전체!$A$2:$A$67,$A2,전체!$B$2:$B$67,$B2),"-")</f>
        <v>9.62281777777778</v>
      </c>
      <c r="AC2" s="11" t="n">
        <f aca="false">IFERROR(AVERAGEIFS(전체!$AB$2:$AB$67,전체!$A$2:$A$67,$A2,전체!$B$2:$B$67,$B2),"-")</f>
        <v>69.5183333333333</v>
      </c>
      <c r="AD2" s="11" t="n">
        <f aca="false">IFERROR(AVERAGEIFS(전체!$AC$2:$AC$67,전체!$A$2:$A$67,$A2,전체!$B$2:$B$67,$B2),"-")</f>
        <v>111.068666666667</v>
      </c>
      <c r="AE2" s="11" t="n">
        <f aca="false">IFERROR(AVERAGEIFS(전체!$AD$2:$AD$67,전체!$A$2:$A$67,$A2,전체!$B$2:$B$67,$B2),"-")</f>
        <v>116.466</v>
      </c>
      <c r="AF2" s="11" t="n">
        <f aca="false">IFERROR(AVERAGEIFS(전체!$AE$2:$AE$67,전체!$A$2:$A$67,$A2,전체!$B$2:$B$67,$B2),"-")</f>
        <v>18.5023333333333</v>
      </c>
      <c r="AG2" s="11" t="str">
        <f aca="false">IFERROR(AVERAGEIFS(전체!$AF$2:$AF$67,전체!$A$2:$A$67,$A2,전체!$B$2:$B$67,$B2),"-")</f>
        <v>-</v>
      </c>
      <c r="AH2" s="11" t="str">
        <f aca="false">IFERROR(AVERAGEIFS(전체!$AG$2:$AG$67,전체!$A$2:$A$67,$A2,전체!$B$2:$B$67,$B2),"-")</f>
        <v>-</v>
      </c>
      <c r="AI2" s="11" t="str">
        <f aca="false">IFERROR(AVERAGEIFS(전체!$AH$2:$AH$67,전체!$A$2:$A$67,$A2,전체!$B$2:$B$67,$B2),"-")</f>
        <v>-</v>
      </c>
      <c r="AJ2" s="11" t="str">
        <f aca="false">IFERROR(AVERAGEIFS(전체!$AI$2:$AI$67,전체!$A$2:$A$67,$A2,전체!$B$2:$B$67,$B2),"-")</f>
        <v>-</v>
      </c>
      <c r="AK2" s="11" t="str">
        <f aca="false">IFERROR(AVERAGEIFS(전체!$AJ$2:$AJ$67,전체!$A$2:$A$67,$A2,전체!$B$2:$B$67,$B2),"-")</f>
        <v>-</v>
      </c>
      <c r="AL2" s="11" t="str">
        <f aca="false">IFERROR(AVERAGEIFS(전체!$AK$2:$AK$67,전체!$A$2:$A$67,$A2,전체!$B$2:$B$67,$B2),"-")</f>
        <v>-</v>
      </c>
      <c r="AM2" s="11" t="str">
        <f aca="false">IFERROR(AVERAGEIFS(전체!$AL$2:$AL$67,전체!$A$2:$A$67,$A2,전체!$B$2:$B$67,$B2),"-")</f>
        <v>-</v>
      </c>
      <c r="AN2" s="11" t="str">
        <f aca="false">IFERROR(AVERAGEIFS(전체!$AM$2:$AM$67,전체!$A$2:$A$67,$A2,전체!$B$2:$B$67,$B2),"-")</f>
        <v>-</v>
      </c>
      <c r="AO2" s="11" t="n">
        <f aca="false">IFERROR(AVERAGEIFS(전체!$AN$2:$AN$67,전체!$A$2:$A$67,$A2,전체!$B$2:$B$67,$B2),"-")</f>
        <v>9.61057222222222</v>
      </c>
      <c r="AP2" s="11" t="str">
        <f aca="false">IFERROR(AVERAGEIFS(전체!$AO$2:$AO$67,전체!$A$2:$A$67,$A2,전체!$B$2:$B$67,$B2),"-")</f>
        <v>-</v>
      </c>
      <c r="AQ2" s="11" t="str">
        <f aca="false">IFERROR(AVERAGEIFS(전체!$AP$2:$AP$67,전체!$A$2:$A$67,$A2,전체!$B$2:$B$67,$B2),"-")</f>
        <v>-</v>
      </c>
      <c r="AR2" s="11" t="n">
        <f aca="false">IFERROR(AVERAGEIFS(전체!$AQ$2:$AQ$67,전체!$A$2:$A$67,$A2,전체!$B$2:$B$67,$B2),"-")</f>
        <v>4.98399333333333</v>
      </c>
      <c r="AS2" s="11" t="str">
        <f aca="false">IFERROR(AVERAGEIFS(전체!$AR$2:$AR$67,전체!$A$2:$A$67,$A2,전체!$B$2:$B$67,$B2),"-")</f>
        <v>-</v>
      </c>
      <c r="AT2" s="11" t="str">
        <f aca="false">IFERROR(AVERAGEIFS(전체!$AS$2:$AS$67,전체!$A$2:$A$67,$A2,전체!$B$2:$B$67,$B2),"-")</f>
        <v>-</v>
      </c>
      <c r="AU2" s="11" t="n">
        <f aca="false">IFERROR(AVERAGEIFS(전체!$AT$2:$AT$67,전체!$A$2:$A$67,$A2,전체!$B$2:$B$67,$B2),"-")</f>
        <v>0.0101740794444444</v>
      </c>
      <c r="AV2" s="11" t="str">
        <f aca="false">IFERROR(AVERAGEIFS(전체!$AU$2:$AU$67,전체!$A$2:$A$67,$A2,전체!$B$2:$B$67,$B2),"-")</f>
        <v>-</v>
      </c>
      <c r="AW2" s="11" t="str">
        <f aca="false">IFERROR(AVERAGEIFS(전체!$AV$2:$AV$67,전체!$A$2:$A$67,$A2,전체!$B$2:$B$67,$B2),"-")</f>
        <v>-</v>
      </c>
      <c r="AX2" s="11" t="n">
        <f aca="false">IFERROR(AVERAGEIFS(전체!$AW$2:$AW$67,전체!$A$2:$A$67,$A2,전체!$B$2:$B$67,$B2),"-")</f>
        <v>157.765277777778</v>
      </c>
      <c r="AY2" s="11" t="str">
        <f aca="false">IFERROR(AVERAGEIFS(전체!$AX$2:$AX$67,전체!$A$2:$A$67,$A2,전체!$B$2:$B$67,$B2),"-")</f>
        <v>-</v>
      </c>
      <c r="AZ2" s="11" t="str">
        <f aca="false">IFERROR(AVERAGEIFS(전체!$AY$2:$AY$67,전체!$A$2:$A$67,$A2,전체!$B$2:$B$67,$B2),"-")</f>
        <v>-</v>
      </c>
    </row>
    <row r="3" customFormat="false" ht="15" hidden="false" customHeight="false" outlineLevel="0" collapsed="false">
      <c r="A3" s="10" t="s">
        <v>73</v>
      </c>
      <c r="B3" s="10" t="s">
        <v>76</v>
      </c>
      <c r="C3" s="10" t="n">
        <f aca="false">COUNTIFS(전체!$A$2:$A$67,$A3,전체!$B$2:$B$67,$B3)</f>
        <v>6</v>
      </c>
      <c r="D3" s="10" t="n">
        <f aca="false">COUNTIFS(전체!$A$2:$A$67,$A3,전체!$B$2:$B$67,$B3,전체!$X$2:$X$67,"&lt;&gt;NaN")</f>
        <v>3</v>
      </c>
      <c r="E3" s="11" t="n">
        <f aca="false">IFERROR(AVERAGEIFS(전체!$D$2:$D$67,전체!$A$2:$A$67,$A3,전체!$B$2:$B$67,$B3),"-")</f>
        <v>1</v>
      </c>
      <c r="F3" s="11" t="n">
        <f aca="false">IFERROR(AVERAGEIFS(전체!$E$2:$E$67,전체!$A$2:$A$67,$A3,전체!$B$2:$B$67,$B3),"-")</f>
        <v>1</v>
      </c>
      <c r="G3" s="11" t="n">
        <f aca="false">IFERROR(AVERAGEIFS(전체!$F$2:$F$67,전체!$A$2:$A$67,$A3,전체!$B$2:$B$67,$B3),"-")</f>
        <v>0</v>
      </c>
      <c r="H3" s="11" t="n">
        <f aca="false">IFERROR(AVERAGEIFS(전체!$G$2:$G$67,전체!$A$2:$A$67,$A3,전체!$B$2:$B$67,$B3),"-")</f>
        <v>1</v>
      </c>
      <c r="I3" s="11" t="n">
        <f aca="false">IFERROR(AVERAGEIFS(전체!$H$2:$H$67,전체!$A$2:$A$67,$A3,전체!$B$2:$B$67,$B3),"-")</f>
        <v>1</v>
      </c>
      <c r="J3" s="11" t="n">
        <f aca="false">IFERROR(AVERAGEIFS(전체!$I$2:$I$67,전체!$A$2:$A$67,$A3,전체!$B$2:$B$67,$B3),"-")</f>
        <v>1</v>
      </c>
      <c r="K3" s="11" t="n">
        <f aca="false">IFERROR(AVERAGEIFS(전체!$J$2:$J$67,전체!$A$2:$A$67,$A3,전체!$B$2:$B$67,$B3),"-")</f>
        <v>1</v>
      </c>
      <c r="L3" s="11" t="n">
        <f aca="false">IFERROR(AVERAGEIFS(전체!$K$2:$K$67,전체!$A$2:$A$67,$A3,전체!$B$2:$B$67,$B3),"-")</f>
        <v>1</v>
      </c>
      <c r="M3" s="11" t="n">
        <f aca="false">IFERROR(AVERAGEIFS(전체!$L$2:$L$67,전체!$A$2:$A$67,$A3,전체!$B$2:$B$67,$B3),"-")</f>
        <v>1</v>
      </c>
      <c r="N3" s="11" t="n">
        <f aca="false">IFERROR(AVERAGEIFS(전체!$M$2:$M$67,전체!$A$2:$A$67,$A3,전체!$B$2:$B$67,$B3),"-")</f>
        <v>0</v>
      </c>
      <c r="O3" s="11" t="n">
        <f aca="false">IFERROR(AVERAGEIFS(전체!$N$2:$N$67,전체!$A$2:$A$67,$A3,전체!$B$2:$B$67,$B3),"-")</f>
        <v>0</v>
      </c>
      <c r="P3" s="11" t="n">
        <f aca="false">IFERROR(AVERAGEIFS(전체!$O$2:$O$67,전체!$A$2:$A$67,$A3,전체!$B$2:$B$67,$B3),"-")</f>
        <v>0</v>
      </c>
      <c r="Q3" s="11" t="n">
        <f aca="false">IFERROR(AVERAGEIFS(전체!$P$2:$P$67,전체!$A$2:$A$67,$A3,전체!$B$2:$B$67,$B3),"-")</f>
        <v>0</v>
      </c>
      <c r="R3" s="11" t="n">
        <f aca="false">IFERROR(AVERAGEIFS(전체!$Q$2:$Q$67,전체!$A$2:$A$67,$A3,전체!$B$2:$B$67,$B3),"-")</f>
        <v>700.200333333333</v>
      </c>
      <c r="S3" s="11" t="n">
        <f aca="false">IFERROR(AVERAGEIFS(전체!$R$2:$R$67,전체!$A$2:$A$67,$A3,전체!$B$2:$B$67,$B3),"-")</f>
        <v>734.767166666667</v>
      </c>
      <c r="T3" s="11" t="str">
        <f aca="false">IFERROR(AVERAGEIFS(전체!$S$2:$S$67,전체!$A$2:$A$67,$A3,전체!$B$2:$B$67,$B3),"-")</f>
        <v>-</v>
      </c>
      <c r="U3" s="11" t="n">
        <f aca="false">IFERROR(AVERAGEIFS(전체!$T$2:$T$67,전체!$A$2:$A$67,$A3,전체!$B$2:$B$67,$B3),"-")</f>
        <v>42.1854333333333</v>
      </c>
      <c r="V3" s="11" t="n">
        <f aca="false">IFERROR(AVERAGEIFS(전체!$U$2:$U$67,전체!$A$2:$A$67,$A3,전체!$B$2:$B$67,$B3),"-")</f>
        <v>23.9519833333333</v>
      </c>
      <c r="W3" s="11" t="n">
        <f aca="false">IFERROR(AVERAGEIFS(전체!$V$2:$V$67,전체!$A$2:$A$67,$A3,전체!$B$2:$B$67,$B3),"-")</f>
        <v>8218.83333333333</v>
      </c>
      <c r="X3" s="11" t="n">
        <f aca="false">IFERROR(AVERAGEIFS(전체!$W$2:$W$67,전체!$A$2:$A$67,$A3,전체!$B$2:$B$67,$B3),"-")</f>
        <v>5343.33333333333</v>
      </c>
      <c r="Y3" s="11" t="n">
        <f aca="false">IFERROR(AVERAGEIFS(전체!$X$2:$X$67,전체!$A$2:$A$67,$A3,전체!$B$2:$B$67,$B3),"-")</f>
        <v>99.9433333333333</v>
      </c>
      <c r="Z3" s="11" t="n">
        <f aca="false">IFERROR(AVERAGEIFS(전체!$Y$2:$Y$67,전체!$A$2:$A$67,$A3,전체!$B$2:$B$67,$B3),"-")</f>
        <v>27.686</v>
      </c>
      <c r="AA3" s="11" t="n">
        <f aca="false">IFERROR(AVERAGEIFS(전체!$Z$2:$Z$67,전체!$A$2:$A$67,$A3,전체!$B$2:$B$67,$B3),"-")</f>
        <v>0.0566666666666667</v>
      </c>
      <c r="AB3" s="11" t="n">
        <f aca="false">IFERROR(AVERAGEIFS(전체!$AA$2:$AA$67,전체!$A$2:$A$67,$A3,전체!$B$2:$B$67,$B3),"-")</f>
        <v>52.2660666666667</v>
      </c>
      <c r="AC3" s="11" t="n">
        <f aca="false">IFERROR(AVERAGEIFS(전체!$AB$2:$AB$67,전체!$A$2:$A$67,$A3,전체!$B$2:$B$67,$B3),"-")</f>
        <v>13.8316666666667</v>
      </c>
      <c r="AD3" s="11" t="n">
        <f aca="false">IFERROR(AVERAGEIFS(전체!$AC$2:$AC$67,전체!$A$2:$A$67,$A3,전체!$B$2:$B$67,$B3),"-")</f>
        <v>23.702</v>
      </c>
      <c r="AE3" s="11" t="n">
        <f aca="false">IFERROR(AVERAGEIFS(전체!$AD$2:$AD$67,전체!$A$2:$A$67,$A3,전체!$B$2:$B$67,$B3),"-")</f>
        <v>32.4516666666667</v>
      </c>
      <c r="AF3" s="11" t="n">
        <f aca="false">IFERROR(AVERAGEIFS(전체!$AE$2:$AE$67,전체!$A$2:$A$67,$A3,전체!$B$2:$B$67,$B3),"-")</f>
        <v>16.419</v>
      </c>
      <c r="AG3" s="11" t="n">
        <f aca="false">IFERROR(AVERAGEIFS(전체!$AF$2:$AF$67,전체!$A$2:$A$67,$A3,전체!$B$2:$B$67,$B3),"-")</f>
        <v>13.8203333333333</v>
      </c>
      <c r="AH3" s="11" t="n">
        <f aca="false">IFERROR(AVERAGEIFS(전체!$AG$2:$AG$67,전체!$A$2:$A$67,$A3,전체!$B$2:$B$67,$B3),"-")</f>
        <v>25.3833333333333</v>
      </c>
      <c r="AI3" s="11" t="n">
        <f aca="false">IFERROR(AVERAGEIFS(전체!$AH$2:$AH$67,전체!$A$2:$A$67,$A3,전체!$B$2:$B$67,$B3),"-")</f>
        <v>182.397333333333</v>
      </c>
      <c r="AJ3" s="11" t="n">
        <f aca="false">IFERROR(AVERAGEIFS(전체!$AI$2:$AI$67,전체!$A$2:$A$67,$A3,전체!$B$2:$B$67,$B3),"-")</f>
        <v>2.11666666666667</v>
      </c>
      <c r="AK3" s="11" t="str">
        <f aca="false">IFERROR(AVERAGEIFS(전체!$AJ$2:$AJ$67,전체!$A$2:$A$67,$A3,전체!$B$2:$B$67,$B3),"-")</f>
        <v>-</v>
      </c>
      <c r="AL3" s="11" t="str">
        <f aca="false">IFERROR(AVERAGEIFS(전체!$AK$2:$AK$67,전체!$A$2:$A$67,$A3,전체!$B$2:$B$67,$B3),"-")</f>
        <v>-</v>
      </c>
      <c r="AM3" s="11" t="str">
        <f aca="false">IFERROR(AVERAGEIFS(전체!$AL$2:$AL$67,전체!$A$2:$A$67,$A3,전체!$B$2:$B$67,$B3),"-")</f>
        <v>-</v>
      </c>
      <c r="AN3" s="11" t="str">
        <f aca="false">IFERROR(AVERAGEIFS(전체!$AM$2:$AM$67,전체!$A$2:$A$67,$A3,전체!$B$2:$B$67,$B3),"-")</f>
        <v>-</v>
      </c>
      <c r="AO3" s="11" t="n">
        <f aca="false">IFERROR(AVERAGEIFS(전체!$AN$2:$AN$67,전체!$A$2:$A$67,$A3,전체!$B$2:$B$67,$B3),"-")</f>
        <v>52.1006666666667</v>
      </c>
      <c r="AP3" s="11" t="n">
        <f aca="false">IFERROR(AVERAGEIFS(전체!$AO$2:$AO$67,전체!$A$2:$A$67,$A3,전체!$B$2:$B$67,$B3),"-")</f>
        <v>52.0941666666667</v>
      </c>
      <c r="AQ3" s="11" t="str">
        <f aca="false">IFERROR(AVERAGEIFS(전체!$AP$2:$AP$67,전체!$A$2:$A$67,$A3,전체!$B$2:$B$67,$B3),"-")</f>
        <v>-</v>
      </c>
      <c r="AR3" s="11" t="n">
        <f aca="false">IFERROR(AVERAGEIFS(전체!$AQ$2:$AQ$67,전체!$A$2:$A$67,$A3,전체!$B$2:$B$67,$B3),"-")</f>
        <v>5.5863</v>
      </c>
      <c r="AS3" s="11" t="n">
        <f aca="false">IFERROR(AVERAGEIFS(전체!$AR$2:$AR$67,전체!$A$2:$A$67,$A3,전체!$B$2:$B$67,$B3),"-")</f>
        <v>5.16355</v>
      </c>
      <c r="AT3" s="11" t="str">
        <f aca="false">IFERROR(AVERAGEIFS(전체!$AS$2:$AS$67,전체!$A$2:$A$67,$A3,전체!$B$2:$B$67,$B3),"-")</f>
        <v>-</v>
      </c>
      <c r="AU3" s="11" t="n">
        <f aca="false">IFERROR(AVERAGEIFS(전체!$AT$2:$AT$67,전체!$A$2:$A$67,$A3,전체!$B$2:$B$67,$B3),"-")</f>
        <v>0.0105950333333333</v>
      </c>
      <c r="AV3" s="11" t="n">
        <f aca="false">IFERROR(AVERAGEIFS(전체!$AU$2:$AU$67,전체!$A$2:$A$67,$A3,전체!$B$2:$B$67,$B3),"-")</f>
        <v>37.4272833333333</v>
      </c>
      <c r="AW3" s="11" t="str">
        <f aca="false">IFERROR(AVERAGEIFS(전체!$AV$2:$AV$67,전체!$A$2:$A$67,$A3,전체!$B$2:$B$67,$B3),"-")</f>
        <v>-</v>
      </c>
      <c r="AX3" s="11" t="n">
        <f aca="false">IFERROR(AVERAGEIFS(전체!$AW$2:$AW$67,전체!$A$2:$A$67,$A3,전체!$B$2:$B$67,$B3),"-")</f>
        <v>705.797</v>
      </c>
      <c r="AY3" s="11" t="n">
        <f aca="false">IFERROR(AVERAGEIFS(전체!$AX$2:$AX$67,전체!$A$2:$A$67,$A3,전체!$B$2:$B$67,$B3),"-")</f>
        <v>777.358</v>
      </c>
      <c r="AZ3" s="11" t="str">
        <f aca="false">IFERROR(AVERAGEIFS(전체!$AY$2:$AY$67,전체!$A$2:$A$67,$A3,전체!$B$2:$B$67,$B3),"-")</f>
        <v>-</v>
      </c>
    </row>
    <row r="4" customFormat="false" ht="15" hidden="false" customHeight="false" outlineLevel="0" collapsed="false">
      <c r="A4" s="10" t="s">
        <v>73</v>
      </c>
      <c r="B4" s="10" t="s">
        <v>77</v>
      </c>
      <c r="C4" s="10" t="n">
        <f aca="false">COUNTIFS(전체!$A$2:$A$67,$A4,전체!$B$2:$B$67,$B4)</f>
        <v>6</v>
      </c>
      <c r="D4" s="10" t="n">
        <f aca="false">COUNTIFS(전체!$A$2:$A$67,$A4,전체!$B$2:$B$67,$B4,전체!$X$2:$X$67,"&lt;&gt;NaN")</f>
        <v>3</v>
      </c>
      <c r="E4" s="11" t="n">
        <f aca="false">IFERROR(AVERAGEIFS(전체!$D$2:$D$67,전체!$A$2:$A$67,$A4,전체!$B$2:$B$67,$B4),"-")</f>
        <v>1</v>
      </c>
      <c r="F4" s="11" t="n">
        <f aca="false">IFERROR(AVERAGEIFS(전체!$E$2:$E$67,전체!$A$2:$A$67,$A4,전체!$B$2:$B$67,$B4),"-")</f>
        <v>0</v>
      </c>
      <c r="G4" s="11" t="n">
        <f aca="false">IFERROR(AVERAGEIFS(전체!$F$2:$F$67,전체!$A$2:$A$67,$A4,전체!$B$2:$B$67,$B4),"-")</f>
        <v>1</v>
      </c>
      <c r="H4" s="11" t="n">
        <f aca="false">IFERROR(AVERAGEIFS(전체!$G$2:$G$67,전체!$A$2:$A$67,$A4,전체!$B$2:$B$67,$B4),"-")</f>
        <v>1</v>
      </c>
      <c r="I4" s="11" t="n">
        <f aca="false">IFERROR(AVERAGEIFS(전체!$H$2:$H$67,전체!$A$2:$A$67,$A4,전체!$B$2:$B$67,$B4),"-")</f>
        <v>1</v>
      </c>
      <c r="J4" s="11" t="n">
        <f aca="false">IFERROR(AVERAGEIFS(전체!$I$2:$I$67,전체!$A$2:$A$67,$A4,전체!$B$2:$B$67,$B4),"-")</f>
        <v>1</v>
      </c>
      <c r="K4" s="11" t="n">
        <f aca="false">IFERROR(AVERAGEIFS(전체!$J$2:$J$67,전체!$A$2:$A$67,$A4,전체!$B$2:$B$67,$B4),"-")</f>
        <v>1</v>
      </c>
      <c r="L4" s="11" t="n">
        <f aca="false">IFERROR(AVERAGEIFS(전체!$K$2:$K$67,전체!$A$2:$A$67,$A4,전체!$B$2:$B$67,$B4),"-")</f>
        <v>1</v>
      </c>
      <c r="M4" s="11" t="n">
        <f aca="false">IFERROR(AVERAGEIFS(전체!$L$2:$L$67,전체!$A$2:$A$67,$A4,전체!$B$2:$B$67,$B4),"-")</f>
        <v>1</v>
      </c>
      <c r="N4" s="11" t="n">
        <f aca="false">IFERROR(AVERAGEIFS(전체!$M$2:$M$67,전체!$A$2:$A$67,$A4,전체!$B$2:$B$67,$B4),"-")</f>
        <v>0</v>
      </c>
      <c r="O4" s="11" t="n">
        <f aca="false">IFERROR(AVERAGEIFS(전체!$N$2:$N$67,전체!$A$2:$A$67,$A4,전체!$B$2:$B$67,$B4),"-")</f>
        <v>0</v>
      </c>
      <c r="P4" s="11" t="n">
        <f aca="false">IFERROR(AVERAGEIFS(전체!$O$2:$O$67,전체!$A$2:$A$67,$A4,전체!$B$2:$B$67,$B4),"-")</f>
        <v>0</v>
      </c>
      <c r="Q4" s="11" t="n">
        <f aca="false">IFERROR(AVERAGEIFS(전체!$P$2:$P$67,전체!$A$2:$A$67,$A4,전체!$B$2:$B$67,$B4),"-")</f>
        <v>0</v>
      </c>
      <c r="R4" s="11" t="n">
        <f aca="false">IFERROR(AVERAGEIFS(전체!$Q$2:$Q$67,전체!$A$2:$A$67,$A4,전체!$B$2:$B$67,$B4),"-")</f>
        <v>613.7645</v>
      </c>
      <c r="S4" s="11" t="str">
        <f aca="false">IFERROR(AVERAGEIFS(전체!$R$2:$R$67,전체!$A$2:$A$67,$A4,전체!$B$2:$B$67,$B4),"-")</f>
        <v>-</v>
      </c>
      <c r="T4" s="11" t="n">
        <f aca="false">IFERROR(AVERAGEIFS(전체!$S$2:$S$67,전체!$A$2:$A$67,$A4,전체!$B$2:$B$67,$B4),"-")</f>
        <v>615.786333333333</v>
      </c>
      <c r="U4" s="11" t="n">
        <f aca="false">IFERROR(AVERAGEIFS(전체!$T$2:$T$67,전체!$A$2:$A$67,$A4,전체!$B$2:$B$67,$B4),"-")</f>
        <v>30.63985</v>
      </c>
      <c r="V4" s="11" t="n">
        <f aca="false">IFERROR(AVERAGEIFS(전체!$U$2:$U$67,전체!$A$2:$A$67,$A4,전체!$B$2:$B$67,$B4),"-")</f>
        <v>23.4229666666667</v>
      </c>
      <c r="W4" s="11" t="n">
        <f aca="false">IFERROR(AVERAGEIFS(전체!$V$2:$V$67,전체!$A$2:$A$67,$A4,전체!$B$2:$B$67,$B4),"-")</f>
        <v>7746.83333333333</v>
      </c>
      <c r="X4" s="11" t="n">
        <f aca="false">IFERROR(AVERAGEIFS(전체!$W$2:$W$67,전체!$A$2:$A$67,$A4,전체!$B$2:$B$67,$B4),"-")</f>
        <v>3167.83333333333</v>
      </c>
      <c r="Y4" s="11" t="n">
        <f aca="false">IFERROR(AVERAGEIFS(전체!$X$2:$X$67,전체!$A$2:$A$67,$A4,전체!$B$2:$B$67,$B4),"-")</f>
        <v>99.9153333333333</v>
      </c>
      <c r="Z4" s="11" t="n">
        <f aca="false">IFERROR(AVERAGEIFS(전체!$Y$2:$Y$67,전체!$A$2:$A$67,$A4,전체!$B$2:$B$67,$B4),"-")</f>
        <v>30.919</v>
      </c>
      <c r="AA4" s="11" t="n">
        <f aca="false">IFERROR(AVERAGEIFS(전체!$Z$2:$Z$67,전체!$A$2:$A$67,$A4,전체!$B$2:$B$67,$B4),"-")</f>
        <v>0.085</v>
      </c>
      <c r="AB4" s="11" t="n">
        <f aca="false">IFERROR(AVERAGEIFS(전체!$AA$2:$AA$67,전체!$A$2:$A$67,$A4,전체!$B$2:$B$67,$B4),"-")</f>
        <v>45.5931833333333</v>
      </c>
      <c r="AC4" s="11" t="n">
        <f aca="false">IFERROR(AVERAGEIFS(전체!$AB$2:$AB$67,전체!$A$2:$A$67,$A4,전체!$B$2:$B$67,$B4),"-")</f>
        <v>15.4593333333333</v>
      </c>
      <c r="AD4" s="11" t="n">
        <f aca="false">IFERROR(AVERAGEIFS(전체!$AC$2:$AC$67,전체!$A$2:$A$67,$A4,전체!$B$2:$B$67,$B4),"-")</f>
        <v>23.1093333333333</v>
      </c>
      <c r="AE4" s="11" t="n">
        <f aca="false">IFERROR(AVERAGEIFS(전체!$AD$2:$AD$67,전체!$A$2:$A$67,$A4,전체!$B$2:$B$67,$B4),"-")</f>
        <v>26.664</v>
      </c>
      <c r="AF4" s="11" t="n">
        <f aca="false">IFERROR(AVERAGEIFS(전체!$AE$2:$AE$67,전체!$A$2:$A$67,$A4,전체!$B$2:$B$67,$B4),"-")</f>
        <v>15.011</v>
      </c>
      <c r="AG4" s="11" t="str">
        <f aca="false">IFERROR(AVERAGEIFS(전체!$AF$2:$AF$67,전체!$A$2:$A$67,$A4,전체!$B$2:$B$67,$B4),"-")</f>
        <v>-</v>
      </c>
      <c r="AH4" s="11" t="str">
        <f aca="false">IFERROR(AVERAGEIFS(전체!$AG$2:$AG$67,전체!$A$2:$A$67,$A4,전체!$B$2:$B$67,$B4),"-")</f>
        <v>-</v>
      </c>
      <c r="AI4" s="11" t="str">
        <f aca="false">IFERROR(AVERAGEIFS(전체!$AH$2:$AH$67,전체!$A$2:$A$67,$A4,전체!$B$2:$B$67,$B4),"-")</f>
        <v>-</v>
      </c>
      <c r="AJ4" s="11" t="str">
        <f aca="false">IFERROR(AVERAGEIFS(전체!$AI$2:$AI$67,전체!$A$2:$A$67,$A4,전체!$B$2:$B$67,$B4),"-")</f>
        <v>-</v>
      </c>
      <c r="AK4" s="11" t="n">
        <f aca="false">IFERROR(AVERAGEIFS(전체!$AJ$2:$AJ$67,전체!$A$2:$A$67,$A4,전체!$B$2:$B$67,$B4),"-")</f>
        <v>15.437</v>
      </c>
      <c r="AL4" s="11" t="n">
        <f aca="false">IFERROR(AVERAGEIFS(전체!$AK$2:$AK$67,전체!$A$2:$A$67,$A4,전체!$B$2:$B$67,$B4),"-")</f>
        <v>14.1273333333333</v>
      </c>
      <c r="AM4" s="11" t="n">
        <f aca="false">IFERROR(AVERAGEIFS(전체!$AL$2:$AL$67,전체!$A$2:$A$67,$A4,전체!$B$2:$B$67,$B4),"-")</f>
        <v>31.8993333333333</v>
      </c>
      <c r="AN4" s="11" t="n">
        <f aca="false">IFERROR(AVERAGEIFS(전체!$AM$2:$AM$67,전체!$A$2:$A$67,$A4,전체!$B$2:$B$67,$B4),"-")</f>
        <v>1.966</v>
      </c>
      <c r="AO4" s="11" t="n">
        <f aca="false">IFERROR(AVERAGEIFS(전체!$AN$2:$AN$67,전체!$A$2:$A$67,$A4,전체!$B$2:$B$67,$B4),"-")</f>
        <v>45.54445</v>
      </c>
      <c r="AP4" s="11" t="str">
        <f aca="false">IFERROR(AVERAGEIFS(전체!$AO$2:$AO$67,전체!$A$2:$A$67,$A4,전체!$B$2:$B$67,$B4),"-")</f>
        <v>-</v>
      </c>
      <c r="AQ4" s="11" t="n">
        <f aca="false">IFERROR(AVERAGEIFS(전체!$AP$2:$AP$67,전체!$A$2:$A$67,$A4,전체!$B$2:$B$67,$B4),"-")</f>
        <v>45.56425</v>
      </c>
      <c r="AR4" s="11" t="n">
        <f aca="false">IFERROR(AVERAGEIFS(전체!$AQ$2:$AQ$67,전체!$A$2:$A$67,$A4,전체!$B$2:$B$67,$B4),"-")</f>
        <v>5.06572166666667</v>
      </c>
      <c r="AS4" s="11" t="str">
        <f aca="false">IFERROR(AVERAGEIFS(전체!$AR$2:$AR$67,전체!$A$2:$A$67,$A4,전체!$B$2:$B$67,$B4),"-")</f>
        <v>-</v>
      </c>
      <c r="AT4" s="11" t="n">
        <f aca="false">IFERROR(AVERAGEIFS(전체!$AS$2:$AS$67,전체!$A$2:$A$67,$A4,전체!$B$2:$B$67,$B4),"-")</f>
        <v>5.38744166666667</v>
      </c>
      <c r="AU4" s="11" t="n">
        <f aca="false">IFERROR(AVERAGEIFS(전체!$AT$2:$AT$67,전체!$A$2:$A$67,$A4,전체!$B$2:$B$67,$B4),"-")</f>
        <v>0.00951296</v>
      </c>
      <c r="AV4" s="11" t="str">
        <f aca="false">IFERROR(AVERAGEIFS(전체!$AU$2:$AU$67,전체!$A$2:$A$67,$A4,전체!$B$2:$B$67,$B4),"-")</f>
        <v>-</v>
      </c>
      <c r="AW4" s="11" t="n">
        <f aca="false">IFERROR(AVERAGEIFS(전체!$AV$2:$AV$67,전체!$A$2:$A$67,$A4,전체!$B$2:$B$67,$B4),"-")</f>
        <v>0.154056166666667</v>
      </c>
      <c r="AX4" s="11" t="n">
        <f aca="false">IFERROR(AVERAGEIFS(전체!$AW$2:$AW$67,전체!$A$2:$A$67,$A4,전체!$B$2:$B$67,$B4),"-")</f>
        <v>618.8395</v>
      </c>
      <c r="AY4" s="11" t="str">
        <f aca="false">IFERROR(AVERAGEIFS(전체!$AX$2:$AX$67,전체!$A$2:$A$67,$A4,전체!$B$2:$B$67,$B4),"-")</f>
        <v>-</v>
      </c>
      <c r="AZ4" s="11" t="n">
        <f aca="false">IFERROR(AVERAGEIFS(전체!$AY$2:$AY$67,전체!$A$2:$A$67,$A4,전체!$B$2:$B$67,$B4),"-")</f>
        <v>621.327833333333</v>
      </c>
    </row>
    <row r="5" customFormat="false" ht="15" hidden="false" customHeight="false" outlineLevel="0" collapsed="false">
      <c r="A5" s="10" t="s">
        <v>73</v>
      </c>
      <c r="B5" s="10" t="s">
        <v>78</v>
      </c>
      <c r="C5" s="10" t="n">
        <f aca="false">COUNTIFS(전체!$A$2:$A$67,$A5,전체!$B$2:$B$67,$B5)</f>
        <v>3</v>
      </c>
      <c r="D5" s="10" t="n">
        <f aca="false">COUNTIFS(전체!$A$2:$A$67,$A5,전체!$B$2:$B$67,$B5,전체!$X$2:$X$67,"&lt;&gt;NaN")</f>
        <v>3</v>
      </c>
      <c r="E5" s="11" t="n">
        <f aca="false">IFERROR(AVERAGEIFS(전체!$D$2:$D$67,전체!$A$2:$A$67,$A5,전체!$B$2:$B$67,$B5),"-")</f>
        <v>1</v>
      </c>
      <c r="F5" s="11" t="n">
        <f aca="false">IFERROR(AVERAGEIFS(전체!$E$2:$E$67,전체!$A$2:$A$67,$A5,전체!$B$2:$B$67,$B5),"-")</f>
        <v>1</v>
      </c>
      <c r="G5" s="11" t="n">
        <f aca="false">IFERROR(AVERAGEIFS(전체!$F$2:$F$67,전체!$A$2:$A$67,$A5,전체!$B$2:$B$67,$B5),"-")</f>
        <v>1</v>
      </c>
      <c r="H5" s="11" t="n">
        <f aca="false">IFERROR(AVERAGEIFS(전체!$G$2:$G$67,전체!$A$2:$A$67,$A5,전체!$B$2:$B$67,$B5),"-")</f>
        <v>1</v>
      </c>
      <c r="I5" s="11" t="n">
        <f aca="false">IFERROR(AVERAGEIFS(전체!$H$2:$H$67,전체!$A$2:$A$67,$A5,전체!$B$2:$B$67,$B5),"-")</f>
        <v>1</v>
      </c>
      <c r="J5" s="11" t="n">
        <f aca="false">IFERROR(AVERAGEIFS(전체!$I$2:$I$67,전체!$A$2:$A$67,$A5,전체!$B$2:$B$67,$B5),"-")</f>
        <v>1</v>
      </c>
      <c r="K5" s="11" t="n">
        <f aca="false">IFERROR(AVERAGEIFS(전체!$J$2:$J$67,전체!$A$2:$A$67,$A5,전체!$B$2:$B$67,$B5),"-")</f>
        <v>1</v>
      </c>
      <c r="L5" s="11" t="n">
        <f aca="false">IFERROR(AVERAGEIFS(전체!$K$2:$K$67,전체!$A$2:$A$67,$A5,전체!$B$2:$B$67,$B5),"-")</f>
        <v>1</v>
      </c>
      <c r="M5" s="11" t="n">
        <f aca="false">IFERROR(AVERAGEIFS(전체!$L$2:$L$67,전체!$A$2:$A$67,$A5,전체!$B$2:$B$67,$B5),"-")</f>
        <v>1</v>
      </c>
      <c r="N5" s="11" t="n">
        <f aca="false">IFERROR(AVERAGEIFS(전체!$M$2:$M$67,전체!$A$2:$A$67,$A5,전체!$B$2:$B$67,$B5),"-")</f>
        <v>0</v>
      </c>
      <c r="O5" s="11" t="n">
        <f aca="false">IFERROR(AVERAGEIFS(전체!$N$2:$N$67,전체!$A$2:$A$67,$A5,전체!$B$2:$B$67,$B5),"-")</f>
        <v>0</v>
      </c>
      <c r="P5" s="11" t="n">
        <f aca="false">IFERROR(AVERAGEIFS(전체!$O$2:$O$67,전체!$A$2:$A$67,$A5,전체!$B$2:$B$67,$B5),"-")</f>
        <v>0</v>
      </c>
      <c r="Q5" s="11" t="n">
        <f aca="false">IFERROR(AVERAGEIFS(전체!$P$2:$P$67,전체!$A$2:$A$67,$A5,전체!$B$2:$B$67,$B5),"-")</f>
        <v>0</v>
      </c>
      <c r="R5" s="11" t="n">
        <f aca="false">IFERROR(AVERAGEIFS(전체!$Q$2:$Q$67,전체!$A$2:$A$67,$A5,전체!$B$2:$B$67,$B5),"-")</f>
        <v>1312.8</v>
      </c>
      <c r="S5" s="11" t="n">
        <f aca="false">IFERROR(AVERAGEIFS(전체!$R$2:$R$67,전체!$A$2:$A$67,$A5,전체!$B$2:$B$67,$B5),"-")</f>
        <v>1343.77</v>
      </c>
      <c r="T5" s="11" t="n">
        <f aca="false">IFERROR(AVERAGEIFS(전체!$S$2:$S$67,전체!$A$2:$A$67,$A5,전체!$B$2:$B$67,$B5),"-")</f>
        <v>1331.97333333333</v>
      </c>
      <c r="U5" s="11" t="n">
        <f aca="false">IFERROR(AVERAGEIFS(전체!$T$2:$T$67,전체!$A$2:$A$67,$A5,전체!$B$2:$B$67,$B5),"-")</f>
        <v>35.2886666666667</v>
      </c>
      <c r="V5" s="11" t="n">
        <f aca="false">IFERROR(AVERAGEIFS(전체!$U$2:$U$67,전체!$A$2:$A$67,$A5,전체!$B$2:$B$67,$B5),"-")</f>
        <v>21.1305666666667</v>
      </c>
      <c r="W5" s="11" t="n">
        <f aca="false">IFERROR(AVERAGEIFS(전체!$V$2:$V$67,전체!$A$2:$A$67,$A5,전체!$B$2:$B$67,$B5),"-")</f>
        <v>14719.3333333333</v>
      </c>
      <c r="X5" s="11" t="n">
        <f aca="false">IFERROR(AVERAGEIFS(전체!$W$2:$W$67,전체!$A$2:$A$67,$A5,전체!$B$2:$B$67,$B5),"-")</f>
        <v>8708</v>
      </c>
      <c r="Y5" s="11" t="n">
        <f aca="false">IFERROR(AVERAGEIFS(전체!$X$2:$X$67,전체!$A$2:$A$67,$A5,전체!$B$2:$B$67,$B5),"-")</f>
        <v>99.999</v>
      </c>
      <c r="Z5" s="11" t="n">
        <f aca="false">IFERROR(AVERAGEIFS(전체!$Y$2:$Y$67,전체!$A$2:$A$67,$A5,전체!$B$2:$B$67,$B5),"-")</f>
        <v>19.009</v>
      </c>
      <c r="AA5" s="11" t="n">
        <f aca="false">IFERROR(AVERAGEIFS(전체!$Z$2:$Z$67,전체!$A$2:$A$67,$A5,전체!$B$2:$B$67,$B5),"-")</f>
        <v>0.000666666666666667</v>
      </c>
      <c r="AB5" s="11" t="n">
        <f aca="false">IFERROR(AVERAGEIFS(전체!$AA$2:$AA$67,전체!$A$2:$A$67,$A5,전체!$B$2:$B$67,$B5),"-")</f>
        <v>97.8208</v>
      </c>
      <c r="AC5" s="11" t="n">
        <f aca="false">IFERROR(AVERAGEIFS(전체!$AB$2:$AB$67,전체!$A$2:$A$67,$A5,전체!$B$2:$B$67,$B5),"-")</f>
        <v>6.33133333333333</v>
      </c>
      <c r="AD5" s="11" t="n">
        <f aca="false">IFERROR(AVERAGEIFS(전체!$AC$2:$AC$67,전체!$A$2:$A$67,$A5,전체!$B$2:$B$67,$B5),"-")</f>
        <v>26.0273333333333</v>
      </c>
      <c r="AE5" s="11" t="n">
        <f aca="false">IFERROR(AVERAGEIFS(전체!$AD$2:$AD$67,전체!$A$2:$A$67,$A5,전체!$B$2:$B$67,$B5),"-")</f>
        <v>36.7103333333333</v>
      </c>
      <c r="AF5" s="11" t="n">
        <f aca="false">IFERROR(AVERAGEIFS(전체!$AE$2:$AE$67,전체!$A$2:$A$67,$A5,전체!$B$2:$B$67,$B5),"-")</f>
        <v>15.516</v>
      </c>
      <c r="AG5" s="11" t="n">
        <f aca="false">IFERROR(AVERAGEIFS(전체!$AF$2:$AF$67,전체!$A$2:$A$67,$A5,전체!$B$2:$B$67,$B5),"-")</f>
        <v>6.335</v>
      </c>
      <c r="AH5" s="11" t="n">
        <f aca="false">IFERROR(AVERAGEIFS(전체!$AG$2:$AG$67,전체!$A$2:$A$67,$A5,전체!$B$2:$B$67,$B5),"-")</f>
        <v>33.5773333333333</v>
      </c>
      <c r="AI5" s="11" t="n">
        <f aca="false">IFERROR(AVERAGEIFS(전체!$AH$2:$AH$67,전체!$A$2:$A$67,$A5,전체!$B$2:$B$67,$B5),"-")</f>
        <v>71.8086666666667</v>
      </c>
      <c r="AJ5" s="11" t="n">
        <f aca="false">IFERROR(AVERAGEIFS(전체!$AI$2:$AI$67,전체!$A$2:$A$67,$A5,전체!$B$2:$B$67,$B5),"-")</f>
        <v>2.09133333333333</v>
      </c>
      <c r="AK5" s="11" t="n">
        <f aca="false">IFERROR(AVERAGEIFS(전체!$AJ$2:$AJ$67,전체!$A$2:$A$67,$A5,전체!$B$2:$B$67,$B5),"-")</f>
        <v>6.33133333333333</v>
      </c>
      <c r="AL5" s="11" t="n">
        <f aca="false">IFERROR(AVERAGEIFS(전체!$AK$2:$AK$67,전체!$A$2:$A$67,$A5,전체!$B$2:$B$67,$B5),"-")</f>
        <v>18.803</v>
      </c>
      <c r="AM5" s="11" t="n">
        <f aca="false">IFERROR(AVERAGEIFS(전체!$AL$2:$AL$67,전체!$A$2:$A$67,$A5,전체!$B$2:$B$67,$B5),"-")</f>
        <v>85.515</v>
      </c>
      <c r="AN5" s="11" t="n">
        <f aca="false">IFERROR(AVERAGEIFS(전체!$AM$2:$AM$67,전체!$A$2:$A$67,$A5,전체!$B$2:$B$67,$B5),"-")</f>
        <v>0.911666666666667</v>
      </c>
      <c r="AO5" s="11" t="n">
        <f aca="false">IFERROR(AVERAGEIFS(전체!$AN$2:$AN$67,전체!$A$2:$A$67,$A5,전체!$B$2:$B$67,$B5),"-")</f>
        <v>97.6906666666667</v>
      </c>
      <c r="AP5" s="11" t="n">
        <f aca="false">IFERROR(AVERAGEIFS(전체!$AO$2:$AO$67,전체!$A$2:$A$67,$A5,전체!$B$2:$B$67,$B5),"-")</f>
        <v>97.6423666666667</v>
      </c>
      <c r="AQ5" s="11" t="n">
        <f aca="false">IFERROR(AVERAGEIFS(전체!$AP$2:$AP$67,전체!$A$2:$A$67,$A5,전체!$B$2:$B$67,$B5),"-")</f>
        <v>97.6570666666667</v>
      </c>
      <c r="AR5" s="11" t="n">
        <f aca="false">IFERROR(AVERAGEIFS(전체!$AQ$2:$AQ$67,전체!$A$2:$A$67,$A5,전체!$B$2:$B$67,$B5),"-")</f>
        <v>5.36777333333333</v>
      </c>
      <c r="AS5" s="11" t="n">
        <f aca="false">IFERROR(AVERAGEIFS(전체!$AR$2:$AR$67,전체!$A$2:$A$67,$A5,전체!$B$2:$B$67,$B5),"-")</f>
        <v>5.00809333333333</v>
      </c>
      <c r="AT5" s="11" t="n">
        <f aca="false">IFERROR(AVERAGEIFS(전체!$AS$2:$AS$67,전체!$A$2:$A$67,$A5,전체!$B$2:$B$67,$B5),"-")</f>
        <v>6.36218333333333</v>
      </c>
      <c r="AU5" s="11" t="n">
        <f aca="false">IFERROR(AVERAGEIFS(전체!$AT$2:$AT$67,전체!$A$2:$A$67,$A5,전체!$B$2:$B$67,$B5),"-")</f>
        <v>0.0105338333333333</v>
      </c>
      <c r="AV5" s="11" t="n">
        <f aca="false">IFERROR(AVERAGEIFS(전체!$AU$2:$AU$67,전체!$A$2:$A$67,$A5,전체!$B$2:$B$67,$B5),"-")</f>
        <v>38.6531</v>
      </c>
      <c r="AW5" s="11" t="n">
        <f aca="false">IFERROR(AVERAGEIFS(전체!$AV$2:$AV$67,전체!$A$2:$A$67,$A5,전체!$B$2:$B$67,$B5),"-")</f>
        <v>0.15856</v>
      </c>
      <c r="AX5" s="11" t="n">
        <f aca="false">IFERROR(AVERAGEIFS(전체!$AW$2:$AW$67,전체!$A$2:$A$67,$A5,전체!$B$2:$B$67,$B5),"-")</f>
        <v>1318.17666666667</v>
      </c>
      <c r="AY5" s="11" t="n">
        <f aca="false">IFERROR(AVERAGEIFS(전체!$AX$2:$AX$67,전체!$A$2:$A$67,$A5,전체!$B$2:$B$67,$B5),"-")</f>
        <v>1387.43333333333</v>
      </c>
      <c r="AZ5" s="11" t="n">
        <f aca="false">IFERROR(AVERAGEIFS(전체!$AY$2:$AY$67,전체!$A$2:$A$67,$A5,전체!$B$2:$B$67,$B5),"-")</f>
        <v>1338.49333333333</v>
      </c>
    </row>
    <row r="6" customFormat="false" ht="15" hidden="false" customHeight="false" outlineLevel="0" collapsed="false">
      <c r="A6" s="10" t="s">
        <v>79</v>
      </c>
      <c r="B6" s="10" t="s">
        <v>74</v>
      </c>
      <c r="C6" s="10" t="n">
        <f aca="false">COUNTIFS(전체!$A$2:$A$67,$A6,전체!$B$2:$B$67,$B6)</f>
        <v>18</v>
      </c>
      <c r="D6" s="10" t="n">
        <f aca="false">COUNTIFS(전체!$A$2:$A$67,$A6,전체!$B$2:$B$67,$B6,전체!$X$2:$X$67,"&lt;&gt;NaN")</f>
        <v>3</v>
      </c>
      <c r="E6" s="11" t="n">
        <f aca="false">IFERROR(AVERAGEIFS(전체!$D$2:$D$67,전체!$A$2:$A$67,$A6,전체!$B$2:$B$67,$B6),"-")</f>
        <v>1</v>
      </c>
      <c r="F6" s="11" t="n">
        <f aca="false">IFERROR(AVERAGEIFS(전체!$E$2:$E$67,전체!$A$2:$A$67,$A6,전체!$B$2:$B$67,$B6),"-")</f>
        <v>0</v>
      </c>
      <c r="G6" s="11" t="n">
        <f aca="false">IFERROR(AVERAGEIFS(전체!$F$2:$F$67,전체!$A$2:$A$67,$A6,전체!$B$2:$B$67,$B6),"-")</f>
        <v>0</v>
      </c>
      <c r="H6" s="11" t="n">
        <f aca="false">IFERROR(AVERAGEIFS(전체!$G$2:$G$67,전체!$A$2:$A$67,$A6,전체!$B$2:$B$67,$B6),"-")</f>
        <v>1</v>
      </c>
      <c r="I6" s="11" t="n">
        <f aca="false">IFERROR(AVERAGEIFS(전체!$H$2:$H$67,전체!$A$2:$A$67,$A6,전체!$B$2:$B$67,$B6),"-")</f>
        <v>1</v>
      </c>
      <c r="J6" s="11" t="n">
        <f aca="false">IFERROR(AVERAGEIFS(전체!$I$2:$I$67,전체!$A$2:$A$67,$A6,전체!$B$2:$B$67,$B6),"-")</f>
        <v>1</v>
      </c>
      <c r="K6" s="11" t="n">
        <f aca="false">IFERROR(AVERAGEIFS(전체!$J$2:$J$67,전체!$A$2:$A$67,$A6,전체!$B$2:$B$67,$B6),"-")</f>
        <v>1</v>
      </c>
      <c r="L6" s="11" t="n">
        <f aca="false">IFERROR(AVERAGEIFS(전체!$K$2:$K$67,전체!$A$2:$A$67,$A6,전체!$B$2:$B$67,$B6),"-")</f>
        <v>1</v>
      </c>
      <c r="M6" s="11" t="n">
        <f aca="false">IFERROR(AVERAGEIFS(전체!$L$2:$L$67,전체!$A$2:$A$67,$A6,전체!$B$2:$B$67,$B6),"-")</f>
        <v>1</v>
      </c>
      <c r="N6" s="11" t="n">
        <f aca="false">IFERROR(AVERAGEIFS(전체!$M$2:$M$67,전체!$A$2:$A$67,$A6,전체!$B$2:$B$67,$B6),"-")</f>
        <v>0</v>
      </c>
      <c r="O6" s="11" t="n">
        <f aca="false">IFERROR(AVERAGEIFS(전체!$N$2:$N$67,전체!$A$2:$A$67,$A6,전체!$B$2:$B$67,$B6),"-")</f>
        <v>0</v>
      </c>
      <c r="P6" s="11" t="n">
        <f aca="false">IFERROR(AVERAGEIFS(전체!$O$2:$O$67,전체!$A$2:$A$67,$A6,전체!$B$2:$B$67,$B6),"-")</f>
        <v>0</v>
      </c>
      <c r="Q6" s="11" t="n">
        <f aca="false">IFERROR(AVERAGEIFS(전체!$P$2:$P$67,전체!$A$2:$A$67,$A6,전체!$B$2:$B$67,$B6),"-")</f>
        <v>0</v>
      </c>
      <c r="R6" s="11" t="n">
        <f aca="false">IFERROR(AVERAGEIFS(전체!$Q$2:$Q$67,전체!$A$2:$A$67,$A6,전체!$B$2:$B$67,$B6),"-")</f>
        <v>5.96502388888889</v>
      </c>
      <c r="S6" s="11" t="str">
        <f aca="false">IFERROR(AVERAGEIFS(전체!$R$2:$R$67,전체!$A$2:$A$67,$A6,전체!$B$2:$B$67,$B6),"-")</f>
        <v>-</v>
      </c>
      <c r="T6" s="11" t="str">
        <f aca="false">IFERROR(AVERAGEIFS(전체!$S$2:$S$67,전체!$A$2:$A$67,$A6,전체!$B$2:$B$67,$B6),"-")</f>
        <v>-</v>
      </c>
      <c r="U6" s="11" t="n">
        <f aca="false">IFERROR(AVERAGEIFS(전체!$T$2:$T$67,전체!$A$2:$A$67,$A6,전체!$B$2:$B$67,$B6),"-")</f>
        <v>59.5462222222222</v>
      </c>
      <c r="V6" s="11" t="n">
        <f aca="false">IFERROR(AVERAGEIFS(전체!$U$2:$U$67,전체!$A$2:$A$67,$A6,전체!$B$2:$B$67,$B6),"-")</f>
        <v>17.1830944444444</v>
      </c>
      <c r="W6" s="11" t="n">
        <f aca="false">IFERROR(AVERAGEIFS(전체!$V$2:$V$67,전체!$A$2:$A$67,$A6,전체!$B$2:$B$67,$B6),"-")</f>
        <v>885.222222222222</v>
      </c>
      <c r="X6" s="11" t="n">
        <f aca="false">IFERROR(AVERAGEIFS(전체!$W$2:$W$67,전체!$A$2:$A$67,$A6,전체!$B$2:$B$67,$B6),"-")</f>
        <v>179.888888888889</v>
      </c>
      <c r="Y6" s="11" t="n">
        <f aca="false">IFERROR(AVERAGEIFS(전체!$X$2:$X$67,전체!$A$2:$A$67,$A6,전체!$B$2:$B$67,$B6),"-")</f>
        <v>99.994</v>
      </c>
      <c r="Z6" s="11" t="n">
        <f aca="false">IFERROR(AVERAGEIFS(전체!$Y$2:$Y$67,전체!$A$2:$A$67,$A6,전체!$B$2:$B$67,$B6),"-")</f>
        <v>0.566333333333333</v>
      </c>
      <c r="AA6" s="11" t="n">
        <f aca="false">IFERROR(AVERAGEIFS(전체!$Z$2:$Z$67,전체!$A$2:$A$67,$A6,전체!$B$2:$B$67,$B6),"-")</f>
        <v>0.006</v>
      </c>
      <c r="AB6" s="11" t="n">
        <f aca="false">IFERROR(AVERAGEIFS(전체!$AA$2:$AA$67,전체!$A$2:$A$67,$A6,전체!$B$2:$B$67,$B6),"-")</f>
        <v>3.60349777777778</v>
      </c>
      <c r="AC6" s="11" t="n">
        <f aca="false">IFERROR(AVERAGEIFS(전체!$AB$2:$AB$67,전체!$A$2:$A$67,$A6,전체!$B$2:$B$67,$B6),"-")</f>
        <v>188.093666666667</v>
      </c>
      <c r="AD6" s="11" t="n">
        <f aca="false">IFERROR(AVERAGEIFS(전체!$AC$2:$AC$67,전체!$A$2:$A$67,$A6,전체!$B$2:$B$67,$B6),"-")</f>
        <v>4.08466666666667</v>
      </c>
      <c r="AE6" s="11" t="n">
        <f aca="false">IFERROR(AVERAGEIFS(전체!$AD$2:$AD$67,전체!$A$2:$A$67,$A6,전체!$B$2:$B$67,$B6),"-")</f>
        <v>13.9436666666667</v>
      </c>
      <c r="AF6" s="11" t="n">
        <f aca="false">IFERROR(AVERAGEIFS(전체!$AE$2:$AE$67,전체!$A$2:$A$67,$A6,전체!$B$2:$B$67,$B6),"-")</f>
        <v>0.173333333333333</v>
      </c>
      <c r="AG6" s="11" t="str">
        <f aca="false">IFERROR(AVERAGEIFS(전체!$AF$2:$AF$67,전체!$A$2:$A$67,$A6,전체!$B$2:$B$67,$B6),"-")</f>
        <v>-</v>
      </c>
      <c r="AH6" s="11" t="str">
        <f aca="false">IFERROR(AVERAGEIFS(전체!$AG$2:$AG$67,전체!$A$2:$A$67,$A6,전체!$B$2:$B$67,$B6),"-")</f>
        <v>-</v>
      </c>
      <c r="AI6" s="11" t="str">
        <f aca="false">IFERROR(AVERAGEIFS(전체!$AH$2:$AH$67,전체!$A$2:$A$67,$A6,전체!$B$2:$B$67,$B6),"-")</f>
        <v>-</v>
      </c>
      <c r="AJ6" s="11" t="str">
        <f aca="false">IFERROR(AVERAGEIFS(전체!$AI$2:$AI$67,전체!$A$2:$A$67,$A6,전체!$B$2:$B$67,$B6),"-")</f>
        <v>-</v>
      </c>
      <c r="AK6" s="11" t="str">
        <f aca="false">IFERROR(AVERAGEIFS(전체!$AJ$2:$AJ$67,전체!$A$2:$A$67,$A6,전체!$B$2:$B$67,$B6),"-")</f>
        <v>-</v>
      </c>
      <c r="AL6" s="11" t="str">
        <f aca="false">IFERROR(AVERAGEIFS(전체!$AK$2:$AK$67,전체!$A$2:$A$67,$A6,전체!$B$2:$B$67,$B6),"-")</f>
        <v>-</v>
      </c>
      <c r="AM6" s="11" t="str">
        <f aca="false">IFERROR(AVERAGEIFS(전체!$AL$2:$AL$67,전체!$A$2:$A$67,$A6,전체!$B$2:$B$67,$B6),"-")</f>
        <v>-</v>
      </c>
      <c r="AN6" s="11" t="str">
        <f aca="false">IFERROR(AVERAGEIFS(전체!$AM$2:$AM$67,전체!$A$2:$A$67,$A6,전체!$B$2:$B$67,$B6),"-")</f>
        <v>-</v>
      </c>
      <c r="AO6" s="11" t="n">
        <f aca="false">IFERROR(AVERAGEIFS(전체!$AN$2:$AN$67,전체!$A$2:$A$67,$A6,전체!$B$2:$B$67,$B6),"-")</f>
        <v>3.59123166666667</v>
      </c>
      <c r="AP6" s="11" t="str">
        <f aca="false">IFERROR(AVERAGEIFS(전체!$AO$2:$AO$67,전체!$A$2:$A$67,$A6,전체!$B$2:$B$67,$B6),"-")</f>
        <v>-</v>
      </c>
      <c r="AQ6" s="11" t="str">
        <f aca="false">IFERROR(AVERAGEIFS(전체!$AP$2:$AP$67,전체!$A$2:$A$67,$A6,전체!$B$2:$B$67,$B6),"-")</f>
        <v>-</v>
      </c>
      <c r="AR6" s="11" t="n">
        <f aca="false">IFERROR(AVERAGEIFS(전체!$AQ$2:$AQ$67,전체!$A$2:$A$67,$A6,전체!$B$2:$B$67,$B6),"-")</f>
        <v>4.61552944444444</v>
      </c>
      <c r="AS6" s="11" t="str">
        <f aca="false">IFERROR(AVERAGEIFS(전체!$AR$2:$AR$67,전체!$A$2:$A$67,$A6,전체!$B$2:$B$67,$B6),"-")</f>
        <v>-</v>
      </c>
      <c r="AT6" s="11" t="str">
        <f aca="false">IFERROR(AVERAGEIFS(전체!$AS$2:$AS$67,전체!$A$2:$A$67,$A6,전체!$B$2:$B$67,$B6),"-")</f>
        <v>-</v>
      </c>
      <c r="AU6" s="11" t="n">
        <f aca="false">IFERROR(AVERAGEIFS(전체!$AT$2:$AT$67,전체!$A$2:$A$67,$A6,전체!$B$2:$B$67,$B6),"-")</f>
        <v>0.00802887</v>
      </c>
      <c r="AV6" s="11" t="str">
        <f aca="false">IFERROR(AVERAGEIFS(전체!$AU$2:$AU$67,전체!$A$2:$A$67,$A6,전체!$B$2:$B$67,$B6),"-")</f>
        <v>-</v>
      </c>
      <c r="AW6" s="11" t="str">
        <f aca="false">IFERROR(AVERAGEIFS(전체!$AV$2:$AV$67,전체!$A$2:$A$67,$A6,전체!$B$2:$B$67,$B6),"-")</f>
        <v>-</v>
      </c>
      <c r="AX6" s="11" t="n">
        <f aca="false">IFERROR(AVERAGEIFS(전체!$AW$2:$AW$67,전체!$A$2:$A$67,$A6,전체!$B$2:$B$67,$B6),"-")</f>
        <v>10.5885888888889</v>
      </c>
      <c r="AY6" s="11" t="str">
        <f aca="false">IFERROR(AVERAGEIFS(전체!$AX$2:$AX$67,전체!$A$2:$A$67,$A6,전체!$B$2:$B$67,$B6),"-")</f>
        <v>-</v>
      </c>
      <c r="AZ6" s="11" t="str">
        <f aca="false">IFERROR(AVERAGEIFS(전체!$AY$2:$AY$67,전체!$A$2:$A$67,$A6,전체!$B$2:$B$67,$B6),"-")</f>
        <v>-</v>
      </c>
    </row>
    <row r="7" customFormat="false" ht="15" hidden="false" customHeight="false" outlineLevel="0" collapsed="false">
      <c r="A7" s="10" t="s">
        <v>79</v>
      </c>
      <c r="B7" s="10" t="s">
        <v>76</v>
      </c>
      <c r="C7" s="10" t="n">
        <f aca="false">COUNTIFS(전체!$A$2:$A$67,$A7,전체!$B$2:$B$67,$B7)</f>
        <v>6</v>
      </c>
      <c r="D7" s="10" t="n">
        <f aca="false">COUNTIFS(전체!$A$2:$A$67,$A7,전체!$B$2:$B$67,$B7,전체!$X$2:$X$67,"&lt;&gt;NaN")</f>
        <v>3</v>
      </c>
      <c r="E7" s="11" t="n">
        <f aca="false">IFERROR(AVERAGEIFS(전체!$D$2:$D$67,전체!$A$2:$A$67,$A7,전체!$B$2:$B$67,$B7),"-")</f>
        <v>1</v>
      </c>
      <c r="F7" s="11" t="n">
        <f aca="false">IFERROR(AVERAGEIFS(전체!$E$2:$E$67,전체!$A$2:$A$67,$A7,전체!$B$2:$B$67,$B7),"-")</f>
        <v>1</v>
      </c>
      <c r="G7" s="11" t="n">
        <f aca="false">IFERROR(AVERAGEIFS(전체!$F$2:$F$67,전체!$A$2:$A$67,$A7,전체!$B$2:$B$67,$B7),"-")</f>
        <v>0</v>
      </c>
      <c r="H7" s="11" t="n">
        <f aca="false">IFERROR(AVERAGEIFS(전체!$G$2:$G$67,전체!$A$2:$A$67,$A7,전체!$B$2:$B$67,$B7),"-")</f>
        <v>1</v>
      </c>
      <c r="I7" s="11" t="n">
        <f aca="false">IFERROR(AVERAGEIFS(전체!$H$2:$H$67,전체!$A$2:$A$67,$A7,전체!$B$2:$B$67,$B7),"-")</f>
        <v>1</v>
      </c>
      <c r="J7" s="11" t="n">
        <f aca="false">IFERROR(AVERAGEIFS(전체!$I$2:$I$67,전체!$A$2:$A$67,$A7,전체!$B$2:$B$67,$B7),"-")</f>
        <v>1</v>
      </c>
      <c r="K7" s="11" t="n">
        <f aca="false">IFERROR(AVERAGEIFS(전체!$J$2:$J$67,전체!$A$2:$A$67,$A7,전체!$B$2:$B$67,$B7),"-")</f>
        <v>1</v>
      </c>
      <c r="L7" s="11" t="n">
        <f aca="false">IFERROR(AVERAGEIFS(전체!$K$2:$K$67,전체!$A$2:$A$67,$A7,전체!$B$2:$B$67,$B7),"-")</f>
        <v>1</v>
      </c>
      <c r="M7" s="11" t="n">
        <f aca="false">IFERROR(AVERAGEIFS(전체!$L$2:$L$67,전체!$A$2:$A$67,$A7,전체!$B$2:$B$67,$B7),"-")</f>
        <v>1</v>
      </c>
      <c r="N7" s="11" t="n">
        <f aca="false">IFERROR(AVERAGEIFS(전체!$M$2:$M$67,전체!$A$2:$A$67,$A7,전체!$B$2:$B$67,$B7),"-")</f>
        <v>0</v>
      </c>
      <c r="O7" s="11" t="n">
        <f aca="false">IFERROR(AVERAGEIFS(전체!$N$2:$N$67,전체!$A$2:$A$67,$A7,전체!$B$2:$B$67,$B7),"-")</f>
        <v>0</v>
      </c>
      <c r="P7" s="11" t="n">
        <f aca="false">IFERROR(AVERAGEIFS(전체!$O$2:$O$67,전체!$A$2:$A$67,$A7,전체!$B$2:$B$67,$B7),"-")</f>
        <v>0</v>
      </c>
      <c r="Q7" s="11" t="n">
        <f aca="false">IFERROR(AVERAGEIFS(전체!$P$2:$P$67,전체!$A$2:$A$67,$A7,전체!$B$2:$B$67,$B7),"-")</f>
        <v>0</v>
      </c>
      <c r="R7" s="11" t="n">
        <f aca="false">IFERROR(AVERAGEIFS(전체!$Q$2:$Q$67,전체!$A$2:$A$67,$A7,전체!$B$2:$B$67,$B7),"-")</f>
        <v>610.531166666667</v>
      </c>
      <c r="S7" s="11" t="n">
        <f aca="false">IFERROR(AVERAGEIFS(전체!$R$2:$R$67,전체!$A$2:$A$67,$A7,전체!$B$2:$B$67,$B7),"-")</f>
        <v>693.2175</v>
      </c>
      <c r="T7" s="11" t="str">
        <f aca="false">IFERROR(AVERAGEIFS(전체!$S$2:$S$67,전체!$A$2:$A$67,$A7,전체!$B$2:$B$67,$B7),"-")</f>
        <v>-</v>
      </c>
      <c r="U7" s="11" t="n">
        <f aca="false">IFERROR(AVERAGEIFS(전체!$T$2:$T$67,전체!$A$2:$A$67,$A7,전체!$B$2:$B$67,$B7),"-")</f>
        <v>41.0608</v>
      </c>
      <c r="V7" s="11" t="n">
        <f aca="false">IFERROR(AVERAGEIFS(전체!$U$2:$U$67,전체!$A$2:$A$67,$A7,전체!$B$2:$B$67,$B7),"-")</f>
        <v>15.8536166666667</v>
      </c>
      <c r="W7" s="11" t="n">
        <f aca="false">IFERROR(AVERAGEIFS(전체!$V$2:$V$67,전체!$A$2:$A$67,$A7,전체!$B$2:$B$67,$B7),"-")</f>
        <v>8368.33333333333</v>
      </c>
      <c r="X7" s="11" t="n">
        <f aca="false">IFERROR(AVERAGEIFS(전체!$W$2:$W$67,전체!$A$2:$A$67,$A7,전체!$B$2:$B$67,$B7),"-")</f>
        <v>6736.83333333333</v>
      </c>
      <c r="Y7" s="11" t="n">
        <f aca="false">IFERROR(AVERAGEIFS(전체!$X$2:$X$67,전체!$A$2:$A$67,$A7,전체!$B$2:$B$67,$B7),"-")</f>
        <v>99.9993333333333</v>
      </c>
      <c r="Z7" s="11" t="n">
        <f aca="false">IFERROR(AVERAGEIFS(전체!$Y$2:$Y$67,전체!$A$2:$A$67,$A7,전체!$B$2:$B$67,$B7),"-")</f>
        <v>33.405</v>
      </c>
      <c r="AA7" s="11" t="n">
        <f aca="false">IFERROR(AVERAGEIFS(전체!$Z$2:$Z$67,전체!$A$2:$A$67,$A7,전체!$B$2:$B$67,$B7),"-")</f>
        <v>0.001</v>
      </c>
      <c r="AB7" s="11" t="n">
        <f aca="false">IFERROR(AVERAGEIFS(전체!$AA$2:$AA$67,전체!$A$2:$A$67,$A7,전체!$B$2:$B$67,$B7),"-")</f>
        <v>42.1569666666667</v>
      </c>
      <c r="AC7" s="11" t="n">
        <f aca="false">IFERROR(AVERAGEIFS(전체!$AB$2:$AB$67,전체!$A$2:$A$67,$A7,전체!$B$2:$B$67,$B7),"-")</f>
        <v>17.768</v>
      </c>
      <c r="AD7" s="11" t="n">
        <f aca="false">IFERROR(AVERAGEIFS(전체!$AC$2:$AC$67,전체!$A$2:$A$67,$A7,전체!$B$2:$B$67,$B7),"-")</f>
        <v>17.469</v>
      </c>
      <c r="AE7" s="11" t="n">
        <f aca="false">IFERROR(AVERAGEIFS(전체!$AD$2:$AD$67,전체!$A$2:$A$67,$A7,전체!$B$2:$B$67,$B7),"-")</f>
        <v>36.875</v>
      </c>
      <c r="AF7" s="11" t="n">
        <f aca="false">IFERROR(AVERAGEIFS(전체!$AE$2:$AE$67,전체!$A$2:$A$67,$A7,전체!$B$2:$B$67,$B7),"-")</f>
        <v>0.618666666666667</v>
      </c>
      <c r="AG7" s="11" t="n">
        <f aca="false">IFERROR(AVERAGEIFS(전체!$AF$2:$AF$67,전체!$A$2:$A$67,$A7,전체!$B$2:$B$67,$B7),"-")</f>
        <v>16.7083333333333</v>
      </c>
      <c r="AH7" s="11" t="n">
        <f aca="false">IFERROR(AVERAGEIFS(전체!$AG$2:$AG$67,전체!$A$2:$A$67,$A7,전체!$B$2:$B$67,$B7),"-")</f>
        <v>68.5626666666667</v>
      </c>
      <c r="AI7" s="11" t="n">
        <f aca="false">IFERROR(AVERAGEIFS(전체!$AH$2:$AH$67,전체!$A$2:$A$67,$A7,전체!$B$2:$B$67,$B7),"-")</f>
        <v>457.495333333333</v>
      </c>
      <c r="AJ7" s="11" t="n">
        <f aca="false">IFERROR(AVERAGEIFS(전체!$AI$2:$AI$67,전체!$A$2:$A$67,$A7,전체!$B$2:$B$67,$B7),"-")</f>
        <v>0.754666666666667</v>
      </c>
      <c r="AK7" s="11" t="str">
        <f aca="false">IFERROR(AVERAGEIFS(전체!$AJ$2:$AJ$67,전체!$A$2:$A$67,$A7,전체!$B$2:$B$67,$B7),"-")</f>
        <v>-</v>
      </c>
      <c r="AL7" s="11" t="str">
        <f aca="false">IFERROR(AVERAGEIFS(전체!$AK$2:$AK$67,전체!$A$2:$A$67,$A7,전체!$B$2:$B$67,$B7),"-")</f>
        <v>-</v>
      </c>
      <c r="AM7" s="11" t="str">
        <f aca="false">IFERROR(AVERAGEIFS(전체!$AL$2:$AL$67,전체!$A$2:$A$67,$A7,전체!$B$2:$B$67,$B7),"-")</f>
        <v>-</v>
      </c>
      <c r="AN7" s="11" t="str">
        <f aca="false">IFERROR(AVERAGEIFS(전체!$AM$2:$AM$67,전체!$A$2:$A$67,$A7,전체!$B$2:$B$67,$B7),"-")</f>
        <v>-</v>
      </c>
      <c r="AO7" s="11" t="n">
        <f aca="false">IFERROR(AVERAGEIFS(전체!$AN$2:$AN$67,전체!$A$2:$A$67,$A7,전체!$B$2:$B$67,$B7),"-")</f>
        <v>37.6540333333333</v>
      </c>
      <c r="AP7" s="11" t="n">
        <f aca="false">IFERROR(AVERAGEIFS(전체!$AO$2:$AO$67,전체!$A$2:$A$67,$A7,전체!$B$2:$B$67,$B7),"-")</f>
        <v>41.9852</v>
      </c>
      <c r="AQ7" s="11" t="str">
        <f aca="false">IFERROR(AVERAGEIFS(전체!$AP$2:$AP$67,전체!$A$2:$A$67,$A7,전체!$B$2:$B$67,$B7),"-")</f>
        <v>-</v>
      </c>
      <c r="AR7" s="11" t="n">
        <f aca="false">IFERROR(AVERAGEIFS(전체!$AQ$2:$AQ$67,전체!$A$2:$A$67,$A7,전체!$B$2:$B$67,$B7),"-")</f>
        <v>6.634415</v>
      </c>
      <c r="AS7" s="11" t="n">
        <f aca="false">IFERROR(AVERAGEIFS(전체!$AR$2:$AR$67,전체!$A$2:$A$67,$A7,전체!$B$2:$B$67,$B7),"-")</f>
        <v>5.69291</v>
      </c>
      <c r="AT7" s="11" t="str">
        <f aca="false">IFERROR(AVERAGEIFS(전체!$AS$2:$AS$67,전체!$A$2:$A$67,$A7,전체!$B$2:$B$67,$B7),"-")</f>
        <v>-</v>
      </c>
      <c r="AU7" s="11" t="n">
        <f aca="false">IFERROR(AVERAGEIFS(전체!$AT$2:$AT$67,전체!$A$2:$A$67,$A7,전체!$B$2:$B$67,$B7),"-")</f>
        <v>0.0115047033333333</v>
      </c>
      <c r="AV7" s="11" t="n">
        <f aca="false">IFERROR(AVERAGEIFS(전체!$AU$2:$AU$67,전체!$A$2:$A$67,$A7,전체!$B$2:$B$67,$B7),"-")</f>
        <v>37.9661666666667</v>
      </c>
      <c r="AW7" s="11" t="str">
        <f aca="false">IFERROR(AVERAGEIFS(전체!$AV$2:$AV$67,전체!$A$2:$A$67,$A7,전체!$B$2:$B$67,$B7),"-")</f>
        <v>-</v>
      </c>
      <c r="AX7" s="11" t="n">
        <f aca="false">IFERROR(AVERAGEIFS(전체!$AW$2:$AW$67,전체!$A$2:$A$67,$A7,전체!$B$2:$B$67,$B7),"-")</f>
        <v>617.176833333333</v>
      </c>
      <c r="AY7" s="11" t="n">
        <f aca="false">IFERROR(AVERAGEIFS(전체!$AX$2:$AX$67,전체!$A$2:$A$67,$A7,전체!$B$2:$B$67,$B7),"-")</f>
        <v>736.876333333333</v>
      </c>
      <c r="AZ7" s="11" t="str">
        <f aca="false">IFERROR(AVERAGEIFS(전체!$AY$2:$AY$67,전체!$A$2:$A$67,$A7,전체!$B$2:$B$67,$B7),"-")</f>
        <v>-</v>
      </c>
    </row>
    <row r="8" customFormat="false" ht="15" hidden="false" customHeight="false" outlineLevel="0" collapsed="false">
      <c r="A8" s="10" t="s">
        <v>79</v>
      </c>
      <c r="B8" s="10" t="s">
        <v>77</v>
      </c>
      <c r="C8" s="10" t="n">
        <f aca="false">COUNTIFS(전체!$A$2:$A$67,$A8,전체!$B$2:$B$67,$B8)</f>
        <v>6</v>
      </c>
      <c r="D8" s="10" t="n">
        <f aca="false">COUNTIFS(전체!$A$2:$A$67,$A8,전체!$B$2:$B$67,$B8,전체!$X$2:$X$67,"&lt;&gt;NaN")</f>
        <v>3</v>
      </c>
      <c r="E8" s="11" t="n">
        <f aca="false">IFERROR(AVERAGEIFS(전체!$D$2:$D$67,전체!$A$2:$A$67,$A8,전체!$B$2:$B$67,$B8),"-")</f>
        <v>1</v>
      </c>
      <c r="F8" s="11" t="n">
        <f aca="false">IFERROR(AVERAGEIFS(전체!$E$2:$E$67,전체!$A$2:$A$67,$A8,전체!$B$2:$B$67,$B8),"-")</f>
        <v>0</v>
      </c>
      <c r="G8" s="11" t="n">
        <f aca="false">IFERROR(AVERAGEIFS(전체!$F$2:$F$67,전체!$A$2:$A$67,$A8,전체!$B$2:$B$67,$B8),"-")</f>
        <v>1</v>
      </c>
      <c r="H8" s="11" t="n">
        <f aca="false">IFERROR(AVERAGEIFS(전체!$G$2:$G$67,전체!$A$2:$A$67,$A8,전체!$B$2:$B$67,$B8),"-")</f>
        <v>1</v>
      </c>
      <c r="I8" s="11" t="n">
        <f aca="false">IFERROR(AVERAGEIFS(전체!$H$2:$H$67,전체!$A$2:$A$67,$A8,전체!$B$2:$B$67,$B8),"-")</f>
        <v>1</v>
      </c>
      <c r="J8" s="11" t="n">
        <f aca="false">IFERROR(AVERAGEIFS(전체!$I$2:$I$67,전체!$A$2:$A$67,$A8,전체!$B$2:$B$67,$B8),"-")</f>
        <v>1</v>
      </c>
      <c r="K8" s="11" t="n">
        <f aca="false">IFERROR(AVERAGEIFS(전체!$J$2:$J$67,전체!$A$2:$A$67,$A8,전체!$B$2:$B$67,$B8),"-")</f>
        <v>1</v>
      </c>
      <c r="L8" s="11" t="n">
        <f aca="false">IFERROR(AVERAGEIFS(전체!$K$2:$K$67,전체!$A$2:$A$67,$A8,전체!$B$2:$B$67,$B8),"-")</f>
        <v>1</v>
      </c>
      <c r="M8" s="11" t="n">
        <f aca="false">IFERROR(AVERAGEIFS(전체!$L$2:$L$67,전체!$A$2:$A$67,$A8,전체!$B$2:$B$67,$B8),"-")</f>
        <v>1</v>
      </c>
      <c r="N8" s="11" t="n">
        <f aca="false">IFERROR(AVERAGEIFS(전체!$M$2:$M$67,전체!$A$2:$A$67,$A8,전체!$B$2:$B$67,$B8),"-")</f>
        <v>0</v>
      </c>
      <c r="O8" s="11" t="n">
        <f aca="false">IFERROR(AVERAGEIFS(전체!$N$2:$N$67,전체!$A$2:$A$67,$A8,전체!$B$2:$B$67,$B8),"-")</f>
        <v>0</v>
      </c>
      <c r="P8" s="11" t="n">
        <f aca="false">IFERROR(AVERAGEIFS(전체!$O$2:$O$67,전체!$A$2:$A$67,$A8,전체!$B$2:$B$67,$B8),"-")</f>
        <v>0</v>
      </c>
      <c r="Q8" s="11" t="n">
        <f aca="false">IFERROR(AVERAGEIFS(전체!$P$2:$P$67,전체!$A$2:$A$67,$A8,전체!$B$2:$B$67,$B8),"-")</f>
        <v>0</v>
      </c>
      <c r="R8" s="11" t="n">
        <f aca="false">IFERROR(AVERAGEIFS(전체!$Q$2:$Q$67,전체!$A$2:$A$67,$A8,전체!$B$2:$B$67,$B8),"-")</f>
        <v>566.065833333333</v>
      </c>
      <c r="S8" s="11" t="str">
        <f aca="false">IFERROR(AVERAGEIFS(전체!$R$2:$R$67,전체!$A$2:$A$67,$A8,전체!$B$2:$B$67,$B8),"-")</f>
        <v>-</v>
      </c>
      <c r="T8" s="11" t="n">
        <f aca="false">IFERROR(AVERAGEIFS(전체!$S$2:$S$67,전체!$A$2:$A$67,$A8,전체!$B$2:$B$67,$B8),"-")</f>
        <v>476.613</v>
      </c>
      <c r="U8" s="11" t="n">
        <f aca="false">IFERROR(AVERAGEIFS(전체!$T$2:$T$67,전체!$A$2:$A$67,$A8,전체!$B$2:$B$67,$B8),"-")</f>
        <v>26.7960833333333</v>
      </c>
      <c r="V8" s="11" t="n">
        <f aca="false">IFERROR(AVERAGEIFS(전체!$U$2:$U$67,전체!$A$2:$A$67,$A8,전체!$B$2:$B$67,$B8),"-")</f>
        <v>15.06675</v>
      </c>
      <c r="W8" s="11" t="n">
        <f aca="false">IFERROR(AVERAGEIFS(전체!$V$2:$V$67,전체!$A$2:$A$67,$A8,전체!$B$2:$B$67,$B8),"-")</f>
        <v>7876.66666666667</v>
      </c>
      <c r="X8" s="11" t="n">
        <f aca="false">IFERROR(AVERAGEIFS(전체!$W$2:$W$67,전체!$A$2:$A$67,$A8,전체!$B$2:$B$67,$B8),"-")</f>
        <v>3644</v>
      </c>
      <c r="Y8" s="11" t="n">
        <f aca="false">IFERROR(AVERAGEIFS(전체!$X$2:$X$67,전체!$A$2:$A$67,$A8,전체!$B$2:$B$67,$B8),"-")</f>
        <v>99.9943333333333</v>
      </c>
      <c r="Z8" s="11" t="n">
        <f aca="false">IFERROR(AVERAGEIFS(전체!$Y$2:$Y$67,전체!$A$2:$A$67,$A8,전체!$B$2:$B$67,$B8),"-")</f>
        <v>39.2903333333333</v>
      </c>
      <c r="AA8" s="11" t="n">
        <f aca="false">IFERROR(AVERAGEIFS(전체!$Z$2:$Z$67,전체!$A$2:$A$67,$A8,전체!$B$2:$B$67,$B8),"-")</f>
        <v>0.005</v>
      </c>
      <c r="AB8" s="11" t="n">
        <f aca="false">IFERROR(AVERAGEIFS(전체!$AA$2:$AA$67,전체!$A$2:$A$67,$A8,전체!$B$2:$B$67,$B8),"-")</f>
        <v>34.79525</v>
      </c>
      <c r="AC8" s="11" t="n">
        <f aca="false">IFERROR(AVERAGEIFS(전체!$AB$2:$AB$67,전체!$A$2:$A$67,$A8,전체!$B$2:$B$67,$B8),"-")</f>
        <v>19.6283333333333</v>
      </c>
      <c r="AD8" s="11" t="n">
        <f aca="false">IFERROR(AVERAGEIFS(전체!$AC$2:$AC$67,전체!$A$2:$A$67,$A8,전체!$B$2:$B$67,$B8),"-")</f>
        <v>15.314</v>
      </c>
      <c r="AE8" s="11" t="n">
        <f aca="false">IFERROR(AVERAGEIFS(전체!$AD$2:$AD$67,전체!$A$2:$A$67,$A8,전체!$B$2:$B$67,$B8),"-")</f>
        <v>23.4086666666667</v>
      </c>
      <c r="AF8" s="11" t="n">
        <f aca="false">IFERROR(AVERAGEIFS(전체!$AE$2:$AE$67,전체!$A$2:$A$67,$A8,전체!$B$2:$B$67,$B8),"-")</f>
        <v>0.528</v>
      </c>
      <c r="AG8" s="11" t="str">
        <f aca="false">IFERROR(AVERAGEIFS(전체!$AF$2:$AF$67,전체!$A$2:$A$67,$A8,전체!$B$2:$B$67,$B8),"-")</f>
        <v>-</v>
      </c>
      <c r="AH8" s="11" t="str">
        <f aca="false">IFERROR(AVERAGEIFS(전체!$AG$2:$AG$67,전체!$A$2:$A$67,$A8,전체!$B$2:$B$67,$B8),"-")</f>
        <v>-</v>
      </c>
      <c r="AI8" s="11" t="str">
        <f aca="false">IFERROR(AVERAGEIFS(전체!$AH$2:$AH$67,전체!$A$2:$A$67,$A8,전체!$B$2:$B$67,$B8),"-")</f>
        <v>-</v>
      </c>
      <c r="AJ8" s="11" t="str">
        <f aca="false">IFERROR(AVERAGEIFS(전체!$AI$2:$AI$67,전체!$A$2:$A$67,$A8,전체!$B$2:$B$67,$B8),"-")</f>
        <v>-</v>
      </c>
      <c r="AK8" s="11" t="n">
        <f aca="false">IFERROR(AVERAGEIFS(전체!$AJ$2:$AJ$67,전체!$A$2:$A$67,$A8,전체!$B$2:$B$67,$B8),"-")</f>
        <v>19.662</v>
      </c>
      <c r="AL8" s="11" t="n">
        <f aca="false">IFERROR(AVERAGEIFS(전체!$AK$2:$AK$67,전체!$A$2:$A$67,$A8,전체!$B$2:$B$67,$B8),"-")</f>
        <v>15.214</v>
      </c>
      <c r="AM8" s="11" t="n">
        <f aca="false">IFERROR(AVERAGEIFS(전체!$AL$2:$AL$67,전체!$A$2:$A$67,$A8,전체!$B$2:$B$67,$B8),"-")</f>
        <v>42.0403333333333</v>
      </c>
      <c r="AN8" s="11" t="n">
        <f aca="false">IFERROR(AVERAGEIFS(전체!$AM$2:$AM$67,전체!$A$2:$A$67,$A8,전체!$B$2:$B$67,$B8),"-")</f>
        <v>0.577</v>
      </c>
      <c r="AO8" s="11" t="n">
        <f aca="false">IFERROR(AVERAGEIFS(전체!$AN$2:$AN$67,전체!$A$2:$A$67,$A8,전체!$B$2:$B$67,$B8),"-")</f>
        <v>34.7709</v>
      </c>
      <c r="AP8" s="11" t="str">
        <f aca="false">IFERROR(AVERAGEIFS(전체!$AO$2:$AO$67,전체!$A$2:$A$67,$A8,전체!$B$2:$B$67,$B8),"-")</f>
        <v>-</v>
      </c>
      <c r="AQ8" s="11" t="n">
        <f aca="false">IFERROR(AVERAGEIFS(전체!$AP$2:$AP$67,전체!$A$2:$A$67,$A8,전체!$B$2:$B$67,$B8),"-")</f>
        <v>34.7664333333333</v>
      </c>
      <c r="AR8" s="11" t="n">
        <f aca="false">IFERROR(AVERAGEIFS(전체!$AQ$2:$AQ$67,전체!$A$2:$A$67,$A8,전체!$B$2:$B$67,$B8),"-")</f>
        <v>5.61035833333333</v>
      </c>
      <c r="AS8" s="11" t="str">
        <f aca="false">IFERROR(AVERAGEIFS(전체!$AR$2:$AR$67,전체!$A$2:$A$67,$A8,전체!$B$2:$B$67,$B8),"-")</f>
        <v>-</v>
      </c>
      <c r="AT8" s="11" t="n">
        <f aca="false">IFERROR(AVERAGEIFS(전체!$AS$2:$AS$67,전체!$A$2:$A$67,$A8,전체!$B$2:$B$67,$B8),"-")</f>
        <v>5.60269</v>
      </c>
      <c r="AU8" s="11" t="n">
        <f aca="false">IFERROR(AVERAGEIFS(전체!$AT$2:$AT$67,전체!$A$2:$A$67,$A8,전체!$B$2:$B$67,$B8),"-")</f>
        <v>0.00818161333333333</v>
      </c>
      <c r="AV8" s="11" t="str">
        <f aca="false">IFERROR(AVERAGEIFS(전체!$AU$2:$AU$67,전체!$A$2:$A$67,$A8,전체!$B$2:$B$67,$B8),"-")</f>
        <v>-</v>
      </c>
      <c r="AW8" s="11" t="n">
        <f aca="false">IFERROR(AVERAGEIFS(전체!$AV$2:$AV$67,전체!$A$2:$A$67,$A8,전체!$B$2:$B$67,$B8),"-")</f>
        <v>0.159024333333333</v>
      </c>
      <c r="AX8" s="11" t="n">
        <f aca="false">IFERROR(AVERAGEIFS(전체!$AW$2:$AW$67,전체!$A$2:$A$67,$A8,전체!$B$2:$B$67,$B8),"-")</f>
        <v>571.684333333333</v>
      </c>
      <c r="AY8" s="11" t="str">
        <f aca="false">IFERROR(AVERAGEIFS(전체!$AX$2:$AX$67,전체!$A$2:$A$67,$A8,전체!$B$2:$B$67,$B8),"-")</f>
        <v>-</v>
      </c>
      <c r="AZ8" s="11" t="n">
        <f aca="false">IFERROR(AVERAGEIFS(전체!$AY$2:$AY$67,전체!$A$2:$A$67,$A8,전체!$B$2:$B$67,$B8),"-")</f>
        <v>482.374833333333</v>
      </c>
    </row>
    <row r="9" customFormat="false" ht="15" hidden="false" customHeight="false" outlineLevel="0" collapsed="false">
      <c r="A9" s="10" t="s">
        <v>79</v>
      </c>
      <c r="B9" s="10" t="s">
        <v>78</v>
      </c>
      <c r="C9" s="10" t="n">
        <f aca="false">COUNTIFS(전체!$A$2:$A$67,$A9,전체!$B$2:$B$67,$B9)</f>
        <v>3</v>
      </c>
      <c r="D9" s="10" t="n">
        <f aca="false">COUNTIFS(전체!$A$2:$A$67,$A9,전체!$B$2:$B$67,$B9,전체!$X$2:$X$67,"&lt;&gt;NaN")</f>
        <v>3</v>
      </c>
      <c r="E9" s="11" t="n">
        <f aca="false">IFERROR(AVERAGEIFS(전체!$D$2:$D$67,전체!$A$2:$A$67,$A9,전체!$B$2:$B$67,$B9),"-")</f>
        <v>1</v>
      </c>
      <c r="F9" s="11" t="n">
        <f aca="false">IFERROR(AVERAGEIFS(전체!$E$2:$E$67,전체!$A$2:$A$67,$A9,전체!$B$2:$B$67,$B9),"-")</f>
        <v>1</v>
      </c>
      <c r="G9" s="11" t="n">
        <f aca="false">IFERROR(AVERAGEIFS(전체!$F$2:$F$67,전체!$A$2:$A$67,$A9,전체!$B$2:$B$67,$B9),"-")</f>
        <v>1</v>
      </c>
      <c r="H9" s="11" t="n">
        <f aca="false">IFERROR(AVERAGEIFS(전체!$G$2:$G$67,전체!$A$2:$A$67,$A9,전체!$B$2:$B$67,$B9),"-")</f>
        <v>1</v>
      </c>
      <c r="I9" s="11" t="n">
        <f aca="false">IFERROR(AVERAGEIFS(전체!$H$2:$H$67,전체!$A$2:$A$67,$A9,전체!$B$2:$B$67,$B9),"-")</f>
        <v>1</v>
      </c>
      <c r="J9" s="11" t="n">
        <f aca="false">IFERROR(AVERAGEIFS(전체!$I$2:$I$67,전체!$A$2:$A$67,$A9,전체!$B$2:$B$67,$B9),"-")</f>
        <v>1</v>
      </c>
      <c r="K9" s="11" t="n">
        <f aca="false">IFERROR(AVERAGEIFS(전체!$J$2:$J$67,전체!$A$2:$A$67,$A9,전체!$B$2:$B$67,$B9),"-")</f>
        <v>1</v>
      </c>
      <c r="L9" s="11" t="n">
        <f aca="false">IFERROR(AVERAGEIFS(전체!$K$2:$K$67,전체!$A$2:$A$67,$A9,전체!$B$2:$B$67,$B9),"-")</f>
        <v>1</v>
      </c>
      <c r="M9" s="11" t="n">
        <f aca="false">IFERROR(AVERAGEIFS(전체!$L$2:$L$67,전체!$A$2:$A$67,$A9,전체!$B$2:$B$67,$B9),"-")</f>
        <v>1</v>
      </c>
      <c r="N9" s="11" t="n">
        <f aca="false">IFERROR(AVERAGEIFS(전체!$M$2:$M$67,전체!$A$2:$A$67,$A9,전체!$B$2:$B$67,$B9),"-")</f>
        <v>0</v>
      </c>
      <c r="O9" s="11" t="n">
        <f aca="false">IFERROR(AVERAGEIFS(전체!$N$2:$N$67,전체!$A$2:$A$67,$A9,전체!$B$2:$B$67,$B9),"-")</f>
        <v>0</v>
      </c>
      <c r="P9" s="11" t="n">
        <f aca="false">IFERROR(AVERAGEIFS(전체!$O$2:$O$67,전체!$A$2:$A$67,$A9,전체!$B$2:$B$67,$B9),"-")</f>
        <v>0</v>
      </c>
      <c r="Q9" s="11" t="n">
        <f aca="false">IFERROR(AVERAGEIFS(전체!$P$2:$P$67,전체!$A$2:$A$67,$A9,전체!$B$2:$B$67,$B9),"-")</f>
        <v>0</v>
      </c>
      <c r="R9" s="11" t="n">
        <f aca="false">IFERROR(AVERAGEIFS(전체!$Q$2:$Q$67,전체!$A$2:$A$67,$A9,전체!$B$2:$B$67,$B9),"-")</f>
        <v>1540.27333333333</v>
      </c>
      <c r="S9" s="11" t="n">
        <f aca="false">IFERROR(AVERAGEIFS(전체!$R$2:$R$67,전체!$A$2:$A$67,$A9,전체!$B$2:$B$67,$B9),"-")</f>
        <v>1306.56333333333</v>
      </c>
      <c r="T9" s="11" t="n">
        <f aca="false">IFERROR(AVERAGEIFS(전체!$S$2:$S$67,전체!$A$2:$A$67,$A9,전체!$B$2:$B$67,$B9),"-")</f>
        <v>1288.82333333333</v>
      </c>
      <c r="U9" s="11" t="n">
        <f aca="false">IFERROR(AVERAGEIFS(전체!$T$2:$T$67,전체!$A$2:$A$67,$A9,전체!$B$2:$B$67,$B9),"-")</f>
        <v>33.5380666666667</v>
      </c>
      <c r="V9" s="11" t="n">
        <f aca="false">IFERROR(AVERAGEIFS(전체!$U$2:$U$67,전체!$A$2:$A$67,$A9,전체!$B$2:$B$67,$B9),"-")</f>
        <v>13.2839333333333</v>
      </c>
      <c r="W9" s="11" t="n">
        <f aca="false">IFERROR(AVERAGEIFS(전체!$V$2:$V$67,전체!$A$2:$A$67,$A9,전체!$B$2:$B$67,$B9),"-")</f>
        <v>14876.6666666667</v>
      </c>
      <c r="X9" s="11" t="n">
        <f aca="false">IFERROR(AVERAGEIFS(전체!$W$2:$W$67,전체!$A$2:$A$67,$A9,전체!$B$2:$B$67,$B9),"-")</f>
        <v>8825.66666666667</v>
      </c>
      <c r="Y9" s="11" t="n">
        <f aca="false">IFERROR(AVERAGEIFS(전체!$X$2:$X$67,전체!$A$2:$A$67,$A9,전체!$B$2:$B$67,$B9),"-")</f>
        <v>99.999</v>
      </c>
      <c r="Z9" s="11" t="n">
        <f aca="false">IFERROR(AVERAGEIFS(전체!$Y$2:$Y$67,전체!$A$2:$A$67,$A9,전체!$B$2:$B$67,$B9),"-")</f>
        <v>19.789</v>
      </c>
      <c r="AA9" s="11" t="n">
        <f aca="false">IFERROR(AVERAGEIFS(전체!$Z$2:$Z$67,전체!$A$2:$A$67,$A9,전체!$B$2:$B$67,$B9),"-")</f>
        <v>0.00133333333333333</v>
      </c>
      <c r="AB9" s="11" t="n">
        <f aca="false">IFERROR(AVERAGEIFS(전체!$AA$2:$AA$67,전체!$A$2:$A$67,$A9,전체!$B$2:$B$67,$B9),"-")</f>
        <v>94.2136</v>
      </c>
      <c r="AC9" s="11" t="n">
        <f aca="false">IFERROR(AVERAGEIFS(전체!$AB$2:$AB$67,전체!$A$2:$A$67,$A9,전체!$B$2:$B$67,$B9),"-")</f>
        <v>6.58733333333333</v>
      </c>
      <c r="AD9" s="11" t="n">
        <f aca="false">IFERROR(AVERAGEIFS(전체!$AC$2:$AC$67,전체!$A$2:$A$67,$A9,전체!$B$2:$B$67,$B9),"-")</f>
        <v>20.289</v>
      </c>
      <c r="AE9" s="11" t="n">
        <f aca="false">IFERROR(AVERAGEIFS(전체!$AD$2:$AD$67,전체!$A$2:$A$67,$A9,전체!$B$2:$B$67,$B9),"-")</f>
        <v>40.8706666666667</v>
      </c>
      <c r="AF9" s="11" t="n">
        <f aca="false">IFERROR(AVERAGEIFS(전체!$AE$2:$AE$67,전체!$A$2:$A$67,$A9,전체!$B$2:$B$67,$B9),"-")</f>
        <v>0.587666666666667</v>
      </c>
      <c r="AG9" s="11" t="n">
        <f aca="false">IFERROR(AVERAGEIFS(전체!$AF$2:$AF$67,전체!$A$2:$A$67,$A9,전체!$B$2:$B$67,$B9),"-")</f>
        <v>6.59866666666667</v>
      </c>
      <c r="AH9" s="11" t="n">
        <f aca="false">IFERROR(AVERAGEIFS(전체!$AG$2:$AG$67,전체!$A$2:$A$67,$A9,전체!$B$2:$B$67,$B9),"-")</f>
        <v>36.8366666666667</v>
      </c>
      <c r="AI9" s="11" t="n">
        <f aca="false">IFERROR(AVERAGEIFS(전체!$AH$2:$AH$67,전체!$A$2:$A$67,$A9,전체!$B$2:$B$67,$B9),"-")</f>
        <v>77.5696666666667</v>
      </c>
      <c r="AJ9" s="11" t="n">
        <f aca="false">IFERROR(AVERAGEIFS(전체!$AI$2:$AI$67,전체!$A$2:$A$67,$A9,전체!$B$2:$B$67,$B9),"-")</f>
        <v>0.582333333333333</v>
      </c>
      <c r="AK9" s="11" t="n">
        <f aca="false">IFERROR(AVERAGEIFS(전체!$AJ$2:$AJ$67,전체!$A$2:$A$67,$A9,전체!$B$2:$B$67,$B9),"-")</f>
        <v>6.59466666666667</v>
      </c>
      <c r="AL9" s="11" t="n">
        <f aca="false">IFERROR(AVERAGEIFS(전체!$AK$2:$AK$67,전체!$A$2:$A$67,$A9,전체!$B$2:$B$67,$B9),"-")</f>
        <v>20.4376666666667</v>
      </c>
      <c r="AM9" s="11" t="n">
        <f aca="false">IFERROR(AVERAGEIFS(전체!$AL$2:$AL$67,전체!$A$2:$A$67,$A9,전체!$B$2:$B$67,$B9),"-")</f>
        <v>98.878</v>
      </c>
      <c r="AN9" s="11" t="n">
        <f aca="false">IFERROR(AVERAGEIFS(전체!$AM$2:$AM$67,전체!$A$2:$A$67,$A9,전체!$B$2:$B$67,$B9),"-")</f>
        <v>0.604666666666667</v>
      </c>
      <c r="AO9" s="11" t="n">
        <f aca="false">IFERROR(AVERAGEIFS(전체!$AN$2:$AN$67,전체!$A$2:$A$67,$A9,전체!$B$2:$B$67,$B9),"-")</f>
        <v>93.9650666666667</v>
      </c>
      <c r="AP9" s="11" t="n">
        <f aca="false">IFERROR(AVERAGEIFS(전체!$AO$2:$AO$67,전체!$A$2:$A$67,$A9,전체!$B$2:$B$67,$B9),"-")</f>
        <v>94.0419</v>
      </c>
      <c r="AQ9" s="11" t="n">
        <f aca="false">IFERROR(AVERAGEIFS(전체!$AP$2:$AP$67,전체!$A$2:$A$67,$A9,전체!$B$2:$B$67,$B9),"-")</f>
        <v>93.9566</v>
      </c>
      <c r="AR9" s="11" t="n">
        <f aca="false">IFERROR(AVERAGEIFS(전체!$AQ$2:$AQ$67,전체!$A$2:$A$67,$A9,전체!$B$2:$B$67,$B9),"-")</f>
        <v>5.77597</v>
      </c>
      <c r="AS9" s="11" t="n">
        <f aca="false">IFERROR(AVERAGEIFS(전체!$AR$2:$AR$67,전체!$A$2:$A$67,$A9,전체!$B$2:$B$67,$B9),"-")</f>
        <v>5.15991333333333</v>
      </c>
      <c r="AT9" s="11" t="n">
        <f aca="false">IFERROR(AVERAGEIFS(전체!$AS$2:$AS$67,전체!$A$2:$A$67,$A9,전체!$B$2:$B$67,$B9),"-")</f>
        <v>6.30539333333333</v>
      </c>
      <c r="AU9" s="11" t="n">
        <f aca="false">IFERROR(AVERAGEIFS(전체!$AT$2:$AT$67,전체!$A$2:$A$67,$A9,전체!$B$2:$B$67,$B9),"-")</f>
        <v>0.00964953333333333</v>
      </c>
      <c r="AV9" s="11" t="n">
        <f aca="false">IFERROR(AVERAGEIFS(전체!$AU$2:$AU$67,전체!$A$2:$A$67,$A9,전체!$B$2:$B$67,$B9),"-")</f>
        <v>38.5629666666667</v>
      </c>
      <c r="AW9" s="11" t="n">
        <f aca="false">IFERROR(AVERAGEIFS(전체!$AV$2:$AV$67,전체!$A$2:$A$67,$A9,전체!$B$2:$B$67,$B9),"-")</f>
        <v>0.153795</v>
      </c>
      <c r="AX9" s="11" t="n">
        <f aca="false">IFERROR(AVERAGEIFS(전체!$AW$2:$AW$67,전체!$A$2:$A$67,$A9,전체!$B$2:$B$67,$B9),"-")</f>
        <v>1546.06333333333</v>
      </c>
      <c r="AY9" s="11" t="n">
        <f aca="false">IFERROR(AVERAGEIFS(전체!$AX$2:$AX$67,전체!$A$2:$A$67,$A9,전체!$B$2:$B$67,$B9),"-")</f>
        <v>1350.28666666667</v>
      </c>
      <c r="AZ9" s="11" t="n">
        <f aca="false">IFERROR(AVERAGEIFS(전체!$AY$2:$AY$67,전체!$A$2:$A$67,$A9,전체!$B$2:$B$67,$B9),"-")</f>
        <v>1295.28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2" style="0" width="15"/>
  </cols>
  <sheetData>
    <row r="1" customFormat="false" ht="42" hidden="false" customHeight="true" outlineLevel="0" collapsed="false">
      <c r="A1" s="12" t="s">
        <v>24</v>
      </c>
      <c r="B1" s="12" t="s">
        <v>130</v>
      </c>
      <c r="C1" s="12" t="s">
        <v>131</v>
      </c>
      <c r="D1" s="12" t="s">
        <v>132</v>
      </c>
      <c r="E1" s="12" t="s">
        <v>133</v>
      </c>
      <c r="F1" s="12" t="s">
        <v>134</v>
      </c>
      <c r="G1" s="12" t="s">
        <v>135</v>
      </c>
      <c r="H1" s="12" t="s">
        <v>136</v>
      </c>
      <c r="I1" s="12" t="s">
        <v>137</v>
      </c>
      <c r="J1" s="12" t="s">
        <v>138</v>
      </c>
      <c r="K1" s="12" t="s">
        <v>139</v>
      </c>
      <c r="L1" s="12" t="s">
        <v>140</v>
      </c>
      <c r="M1" s="12" t="s">
        <v>141</v>
      </c>
      <c r="N1" s="12" t="s">
        <v>142</v>
      </c>
      <c r="O1" s="12" t="s">
        <v>143</v>
      </c>
      <c r="P1" s="12" t="s">
        <v>144</v>
      </c>
      <c r="Q1" s="12" t="s">
        <v>145</v>
      </c>
      <c r="R1" s="12" t="s">
        <v>146</v>
      </c>
      <c r="S1" s="12" t="s">
        <v>147</v>
      </c>
      <c r="T1" s="12" t="s">
        <v>148</v>
      </c>
      <c r="U1" s="12" t="s">
        <v>149</v>
      </c>
      <c r="V1" s="12" t="s">
        <v>150</v>
      </c>
    </row>
    <row r="2" customFormat="false" ht="15" hidden="false" customHeight="false" outlineLevel="0" collapsed="false">
      <c r="A2" s="4" t="s">
        <v>74</v>
      </c>
      <c r="B2" s="11" t="n">
        <f aca="false">IF(ISNUMBER(케이스별_평균!$R$2),케이스별_평균!$R$2,"-")</f>
        <v>152.771222222222</v>
      </c>
      <c r="C2" s="11" t="n">
        <f aca="false">IF(ISNUMBER(케이스별_평균!$R$6),케이스별_평균!$R$6,"-")</f>
        <v>5.96502388888889</v>
      </c>
      <c r="D2" s="13" t="n">
        <f aca="false">IFERROR(IF(AND(ISNUMBER(케이스별_평균!$R$2),ISNUMBER(케이스별_평균!$R$6),케이스별_평균!$R$6&lt;&gt;0),(케이스별_평균!$R$2-케이스별_평균!$R$6)/케이스별_평균!$R$6,"-"),"-")</f>
        <v>24.611166873412</v>
      </c>
      <c r="E2" s="11" t="n">
        <f aca="false">IF(ISNUMBER(케이스별_평균!$U$2),케이스별_평균!$U$2,"-")</f>
        <v>23.0963777777778</v>
      </c>
      <c r="F2" s="11" t="n">
        <f aca="false">IF(ISNUMBER(케이스별_평균!$U$6),케이스별_평균!$U$6,"-")</f>
        <v>59.5462222222222</v>
      </c>
      <c r="G2" s="13" t="n">
        <f aca="false">IFERROR(IF(AND(ISNUMBER(케이스별_평균!$U$2),ISNUMBER(케이스별_평균!$U$6),케이스별_평균!$U$6&lt;&gt;0),(케이스별_평균!$U$2-케이스별_평균!$U$6)/케이스별_평균!$U$6,"-"),"-")</f>
        <v>-0.612126900484404</v>
      </c>
      <c r="H2" s="11" t="n">
        <f aca="false">IF(ISNUMBER(케이스별_평균!$Y$2),케이스별_평균!$Y$2,"-")</f>
        <v>99.3366666666667</v>
      </c>
      <c r="I2" s="11" t="n">
        <f aca="false">IF(ISNUMBER(케이스별_평균!$Y$6),케이스별_평균!$Y$6,"-")</f>
        <v>99.994</v>
      </c>
      <c r="J2" s="13" t="n">
        <f aca="false">IFERROR(IF(AND(ISNUMBER(케이스별_평균!$Y$2),ISNUMBER(케이스별_평균!$Y$6),케이스별_평균!$Y$6&lt;&gt;0),(케이스별_평균!$Y$2-케이스별_평균!$Y$6)/케이스별_평균!$Y$6,"-"),"-")</f>
        <v>-0.00657372775699869</v>
      </c>
      <c r="K2" s="11" t="str">
        <f aca="false">IF(ISNUMBER(케이스별_평균!$S$2),케이스별_평균!$S$2,"-")</f>
        <v>-</v>
      </c>
      <c r="L2" s="11" t="str">
        <f aca="false">IF(ISNUMBER(케이스별_평균!$S$6),케이스별_평균!$S$6,"-")</f>
        <v>-</v>
      </c>
      <c r="M2" s="13" t="str">
        <f aca="false">IFERROR(IF(AND(ISNUMBER(케이스별_평균!$S$2),ISNUMBER(케이스별_평균!$S$6),케이스별_평균!$S$6&lt;&gt;0),(케이스별_평균!$S$2-케이스별_평균!$S$6)/케이스별_평균!$S$6,"-"),"-")</f>
        <v>-</v>
      </c>
      <c r="N2" s="11" t="str">
        <f aca="false">IF(ISNUMBER(케이스별_평균!$T$2),케이스별_평균!$T$2,"-")</f>
        <v>-</v>
      </c>
      <c r="O2" s="11" t="str">
        <f aca="false">IF(ISNUMBER(케이스별_평균!$T$6),케이스별_평균!$T$6,"-")</f>
        <v>-</v>
      </c>
      <c r="P2" s="13" t="str">
        <f aca="false">IFERROR(IF(AND(ISNUMBER(케이스별_평균!$T$2),ISNUMBER(케이스별_평균!$T$6),케이스별_평균!$T$6&lt;&gt;0),(케이스별_평균!$T$2-케이스별_평균!$T$6)/케이스별_평균!$T$6,"-"),"-")</f>
        <v>-</v>
      </c>
      <c r="Q2" s="11" t="n">
        <f aca="false">IF(ISNUMBER(케이스별_평균!$AD$2),케이스별_평균!$AD$2,"-")</f>
        <v>111.068666666667</v>
      </c>
      <c r="R2" s="11" t="n">
        <f aca="false">IF(ISNUMBER(케이스별_평균!$AD$6),케이스별_평균!$AD$6,"-")</f>
        <v>4.08466666666667</v>
      </c>
      <c r="S2" s="13" t="n">
        <f aca="false">IFERROR(IF(AND(ISNUMBER(케이스별_평균!$AD$2),ISNUMBER(케이스별_평균!$AD$6),케이스별_평균!$AD$6&lt;&gt;0),(케이스별_평균!$AD$2-케이스별_평균!$AD$6)/케이스별_평균!$AD$6,"-"),"-")</f>
        <v>26.1916109025624</v>
      </c>
      <c r="T2" s="11" t="n">
        <f aca="false">IF(ISNUMBER(케이스별_평균!$AX$2),케이스별_평균!$AX$2,"-")</f>
        <v>157.765277777778</v>
      </c>
      <c r="U2" s="11" t="n">
        <f aca="false">IF(ISNUMBER(케이스별_평균!$AX$6),케이스별_평균!$AX$6,"-")</f>
        <v>10.5885888888889</v>
      </c>
      <c r="V2" s="13" t="n">
        <f aca="false">IFERROR(IF(AND(ISNUMBER(케이스별_평균!$AX$2),ISNUMBER(케이스별_평균!$AX$6),케이스별_평균!$AX$6&lt;&gt;0),(케이스별_평균!$AX$2-케이스별_평균!$AX$6)/케이스별_평균!$AX$6,"-"),"-")</f>
        <v>13.8995564407386</v>
      </c>
    </row>
    <row r="3" customFormat="false" ht="15" hidden="false" customHeight="false" outlineLevel="0" collapsed="false">
      <c r="A3" s="4" t="s">
        <v>76</v>
      </c>
      <c r="B3" s="11" t="n">
        <f aca="false">IF(ISNUMBER(케이스별_평균!$R$3),케이스별_평균!$R$3,"-")</f>
        <v>700.200333333333</v>
      </c>
      <c r="C3" s="11" t="n">
        <f aca="false">IF(ISNUMBER(케이스별_평균!$R$7),케이스별_평균!$R$7,"-")</f>
        <v>610.531166666667</v>
      </c>
      <c r="D3" s="13" t="n">
        <f aca="false">IFERROR(IF(AND(ISNUMBER(케이스별_평균!$R$3),ISNUMBER(케이스별_평균!$R$7),케이스별_평균!$R$7&lt;&gt;0),(케이스별_평균!$R$3-케이스별_평균!$R$7)/케이스별_평균!$R$7,"-"),"-")</f>
        <v>0.146870743972393</v>
      </c>
      <c r="E3" s="11" t="n">
        <f aca="false">IF(ISNUMBER(케이스별_평균!$U$3),케이스별_평균!$U$3,"-")</f>
        <v>42.1854333333333</v>
      </c>
      <c r="F3" s="11" t="n">
        <f aca="false">IF(ISNUMBER(케이스별_평균!$U$7),케이스별_평균!$U$7,"-")</f>
        <v>41.0608</v>
      </c>
      <c r="G3" s="13" t="n">
        <f aca="false">IFERROR(IF(AND(ISNUMBER(케이스별_평균!$U$3),ISNUMBER(케이스별_평균!$U$7),케이스별_평균!$U$7&lt;&gt;0),(케이스별_평균!$U$3-케이스별_평균!$U$7)/케이스별_평균!$U$7,"-"),"-")</f>
        <v>0.0273894647287275</v>
      </c>
      <c r="H3" s="11" t="n">
        <f aca="false">IF(ISNUMBER(케이스별_평균!$Y$3),케이스별_평균!$Y$3,"-")</f>
        <v>99.9433333333333</v>
      </c>
      <c r="I3" s="11" t="n">
        <f aca="false">IF(ISNUMBER(케이스별_평균!$Y$7),케이스별_평균!$Y$7,"-")</f>
        <v>99.9993333333333</v>
      </c>
      <c r="J3" s="13" t="n">
        <f aca="false">IFERROR(IF(AND(ISNUMBER(케이스별_평균!$Y$3),ISNUMBER(케이스별_평균!$Y$7),케이스별_평균!$Y$7&lt;&gt;0),(케이스별_평균!$Y$3-케이스별_평균!$Y$7)/케이스별_평균!$Y$7,"-"),"-")</f>
        <v>-0.000560003733358196</v>
      </c>
      <c r="K3" s="11" t="n">
        <f aca="false">IF(ISNUMBER(케이스별_평균!$S$3),케이스별_평균!$S$3,"-")</f>
        <v>734.767166666667</v>
      </c>
      <c r="L3" s="11" t="n">
        <f aca="false">IF(ISNUMBER(케이스별_평균!$S$7),케이스별_평균!$S$7,"-")</f>
        <v>693.2175</v>
      </c>
      <c r="M3" s="13" t="n">
        <f aca="false">IFERROR(IF(AND(ISNUMBER(케이스별_평균!$S$3),ISNUMBER(케이스별_평균!$S$7),케이스별_평균!$S$7&lt;&gt;0),(케이스별_평균!$S$3-케이스별_평균!$S$7)/케이스별_평균!$S$7,"-"),"-")</f>
        <v>0.0599374174291136</v>
      </c>
      <c r="N3" s="11" t="str">
        <f aca="false">IF(ISNUMBER(케이스별_평균!$T$3),케이스별_평균!$T$3,"-")</f>
        <v>-</v>
      </c>
      <c r="O3" s="11" t="str">
        <f aca="false">IF(ISNUMBER(케이스별_평균!$T$7),케이스별_평균!$T$7,"-")</f>
        <v>-</v>
      </c>
      <c r="P3" s="13" t="str">
        <f aca="false">IFERROR(IF(AND(ISNUMBER(케이스별_평균!$T$3),ISNUMBER(케이스별_평균!$T$7),케이스별_평균!$T$7&lt;&gt;0),(케이스별_평균!$T$3-케이스별_평균!$T$7)/케이스별_평균!$T$7,"-"),"-")</f>
        <v>-</v>
      </c>
      <c r="Q3" s="11" t="n">
        <f aca="false">IF(ISNUMBER(케이스별_평균!$AD$3),케이스별_평균!$AD$3,"-")</f>
        <v>23.702</v>
      </c>
      <c r="R3" s="11" t="n">
        <f aca="false">IF(ISNUMBER(케이스별_평균!$AD$7),케이스별_평균!$AD$7,"-")</f>
        <v>17.469</v>
      </c>
      <c r="S3" s="13" t="n">
        <f aca="false">IFERROR(IF(AND(ISNUMBER(케이스별_평균!$AD$3),ISNUMBER(케이스별_평균!$AD$7),케이스별_평균!$AD$7&lt;&gt;0),(케이스별_평균!$AD$3-케이스별_평균!$AD$7)/케이스별_평균!$AD$7,"-"),"-")</f>
        <v>0.356803480451085</v>
      </c>
      <c r="T3" s="11" t="n">
        <f aca="false">IF(ISNUMBER(케이스별_평균!$AX$3),케이스별_평균!$AX$3,"-")</f>
        <v>705.797</v>
      </c>
      <c r="U3" s="11" t="n">
        <f aca="false">IF(ISNUMBER(케이스별_평균!$AX$7),케이스별_평균!$AX$7,"-")</f>
        <v>617.176833333333</v>
      </c>
      <c r="V3" s="13" t="n">
        <f aca="false">IFERROR(IF(AND(ISNUMBER(케이스별_평균!$AX$3),ISNUMBER(케이스별_평균!$AX$7),케이스별_평균!$AX$7&lt;&gt;0),(케이스별_평균!$AX$3-케이스별_평균!$AX$7)/케이스별_평균!$AX$7,"-"),"-")</f>
        <v>0.14358958710105</v>
      </c>
    </row>
    <row r="4" customFormat="false" ht="15" hidden="false" customHeight="false" outlineLevel="0" collapsed="false">
      <c r="A4" s="4" t="s">
        <v>77</v>
      </c>
      <c r="B4" s="11" t="n">
        <f aca="false">IF(ISNUMBER(케이스별_평균!$R$4),케이스별_평균!$R$4,"-")</f>
        <v>613.7645</v>
      </c>
      <c r="C4" s="11" t="n">
        <f aca="false">IF(ISNUMBER(케이스별_평균!$R$8),케이스별_평균!$R$8,"-")</f>
        <v>566.065833333333</v>
      </c>
      <c r="D4" s="13" t="n">
        <f aca="false">IFERROR(IF(AND(ISNUMBER(케이스별_평균!$R$4),ISNUMBER(케이스별_평균!$R$8),케이스별_평균!$R$8&lt;&gt;0),(케이스별_평균!$R$4-케이스별_평균!$R$8)/케이스별_평균!$R$8,"-"),"-")</f>
        <v>0.0842634616998317</v>
      </c>
      <c r="E4" s="11" t="n">
        <f aca="false">IF(ISNUMBER(케이스별_평균!$U$4),케이스별_평균!$U$4,"-")</f>
        <v>30.63985</v>
      </c>
      <c r="F4" s="11" t="n">
        <f aca="false">IF(ISNUMBER(케이스별_평균!$U$8),케이스별_평균!$U$8,"-")</f>
        <v>26.7960833333333</v>
      </c>
      <c r="G4" s="13" t="n">
        <f aca="false">IFERROR(IF(AND(ISNUMBER(케이스별_평균!$U$4),ISNUMBER(케이스별_평균!$U$8),케이스별_평균!$U$8&lt;&gt;0),(케이스별_평균!$U$4-케이스별_평균!$U$8)/케이스별_평균!$U$8,"-"),"-")</f>
        <v>0.143445093032875</v>
      </c>
      <c r="H4" s="11" t="n">
        <f aca="false">IF(ISNUMBER(케이스별_평균!$Y$4),케이스별_평균!$Y$4,"-")</f>
        <v>99.9153333333333</v>
      </c>
      <c r="I4" s="11" t="n">
        <f aca="false">IF(ISNUMBER(케이스별_평균!$Y$8),케이스별_평균!$Y$8,"-")</f>
        <v>99.9943333333333</v>
      </c>
      <c r="J4" s="13" t="n">
        <f aca="false">IFERROR(IF(AND(ISNUMBER(케이스별_평균!$Y$4),ISNUMBER(케이스별_평균!$Y$8),케이스별_평균!$Y$8&lt;&gt;0),(케이스별_평균!$Y$4-케이스별_평균!$Y$8)/케이스별_평균!$Y$8,"-"),"-")</f>
        <v>-0.000790044769203666</v>
      </c>
      <c r="K4" s="11" t="str">
        <f aca="false">IF(ISNUMBER(케이스별_평균!$S$4),케이스별_평균!$S$4,"-")</f>
        <v>-</v>
      </c>
      <c r="L4" s="11" t="str">
        <f aca="false">IF(ISNUMBER(케이스별_평균!$S$8),케이스별_평균!$S$8,"-")</f>
        <v>-</v>
      </c>
      <c r="M4" s="13" t="str">
        <f aca="false">IFERROR(IF(AND(ISNUMBER(케이스별_평균!$S$4),ISNUMBER(케이스별_평균!$S$8),케이스별_평균!$S$8&lt;&gt;0),(케이스별_평균!$S$4-케이스별_평균!$S$8)/케이스별_평균!$S$8,"-"),"-")</f>
        <v>-</v>
      </c>
      <c r="N4" s="11" t="n">
        <f aca="false">IF(ISNUMBER(케이스별_평균!$T$4),케이스별_평균!$T$4,"-")</f>
        <v>615.786333333333</v>
      </c>
      <c r="O4" s="11" t="n">
        <f aca="false">IF(ISNUMBER(케이스별_평균!$T$8),케이스별_평균!$T$8,"-")</f>
        <v>476.613</v>
      </c>
      <c r="P4" s="13" t="n">
        <f aca="false">IFERROR(IF(AND(ISNUMBER(케이스별_평균!$T$4),ISNUMBER(케이스별_평균!$T$8),케이스별_평균!$T$8&lt;&gt;0),(케이스별_평균!$T$4-케이스별_평균!$T$8)/케이스별_평균!$T$8,"-"),"-")</f>
        <v>0.292004904048638</v>
      </c>
      <c r="Q4" s="11" t="n">
        <f aca="false">IF(ISNUMBER(케이스별_평균!$AD$4),케이스별_평균!$AD$4,"-")</f>
        <v>23.1093333333333</v>
      </c>
      <c r="R4" s="11" t="n">
        <f aca="false">IF(ISNUMBER(케이스별_평균!$AD$8),케이스별_평균!$AD$8,"-")</f>
        <v>15.314</v>
      </c>
      <c r="S4" s="13" t="n">
        <f aca="false">IFERROR(IF(AND(ISNUMBER(케이스별_평균!$AD$4),ISNUMBER(케이스별_평균!$AD$8),케이스별_평균!$AD$8&lt;&gt;0),(케이스별_평균!$AD$4-케이스별_평균!$AD$8)/케이스별_평균!$AD$8,"-"),"-")</f>
        <v>0.509033128727526</v>
      </c>
      <c r="T4" s="11" t="n">
        <f aca="false">IF(ISNUMBER(케이스별_평균!$AX$4),케이스별_평균!$AX$4,"-")</f>
        <v>618.8395</v>
      </c>
      <c r="U4" s="11" t="n">
        <f aca="false">IF(ISNUMBER(케이스별_평균!$AX$8),케이스별_평균!$AX$8,"-")</f>
        <v>571.684333333333</v>
      </c>
      <c r="V4" s="13" t="n">
        <f aca="false">IFERROR(IF(AND(ISNUMBER(케이스별_평균!$AX$4),ISNUMBER(케이스별_평균!$AX$8),케이스별_평균!$AX$8&lt;&gt;0),(케이스별_평균!$AX$4-케이스별_평균!$AX$8)/케이스별_평균!$AX$8,"-"),"-")</f>
        <v>0.0824846229241893</v>
      </c>
    </row>
    <row r="5" customFormat="false" ht="15" hidden="false" customHeight="false" outlineLevel="0" collapsed="false">
      <c r="A5" s="4" t="s">
        <v>78</v>
      </c>
      <c r="B5" s="11" t="n">
        <f aca="false">IF(ISNUMBER(케이스별_평균!$R$5),케이스별_평균!$R$5,"-")</f>
        <v>1312.8</v>
      </c>
      <c r="C5" s="11" t="n">
        <f aca="false">IF(ISNUMBER(케이스별_평균!$R$9),케이스별_평균!$R$9,"-")</f>
        <v>1540.27333333333</v>
      </c>
      <c r="D5" s="13" t="n">
        <f aca="false">IFERROR(IF(AND(ISNUMBER(케이스별_평균!$R$5),ISNUMBER(케이스별_평균!$R$9),케이스별_평균!$R$9&lt;&gt;0),(케이스별_평균!$R$5-케이스별_평균!$R$9)/케이스별_평균!$R$9,"-"),"-")</f>
        <v>-0.147683744443627</v>
      </c>
      <c r="E5" s="11" t="n">
        <f aca="false">IF(ISNUMBER(케이스별_평균!$U$5),케이스별_평균!$U$5,"-")</f>
        <v>35.2886666666667</v>
      </c>
      <c r="F5" s="11" t="n">
        <f aca="false">IF(ISNUMBER(케이스별_평균!$U$9),케이스별_평균!$U$9,"-")</f>
        <v>33.5380666666667</v>
      </c>
      <c r="G5" s="13" t="n">
        <f aca="false">IFERROR(IF(AND(ISNUMBER(케이스별_평균!$U$5),ISNUMBER(케이스별_평균!$U$9),케이스별_평균!$U$9&lt;&gt;0),(케이스별_평균!$U$5-케이스별_평균!$U$9)/케이스별_평균!$U$9,"-"),"-")</f>
        <v>0.0521974035474118</v>
      </c>
      <c r="H5" s="11" t="n">
        <f aca="false">IF(ISNUMBER(케이스별_평균!$Y$5),케이스별_평균!$Y$5,"-")</f>
        <v>99.999</v>
      </c>
      <c r="I5" s="11" t="n">
        <f aca="false">IF(ISNUMBER(케이스별_평균!$Y$9),케이스별_평균!$Y$9,"-")</f>
        <v>99.999</v>
      </c>
      <c r="J5" s="13" t="n">
        <f aca="false">IFERROR(IF(AND(ISNUMBER(케이스별_평균!$Y$5),ISNUMBER(케이스별_평균!$Y$9),케이스별_평균!$Y$9&lt;&gt;0),(케이스별_평균!$Y$5-케이스별_평균!$Y$9)/케이스별_평균!$Y$9,"-"),"-")</f>
        <v>0</v>
      </c>
      <c r="K5" s="11" t="n">
        <f aca="false">IF(ISNUMBER(케이스별_평균!$S$5),케이스별_평균!$S$5,"-")</f>
        <v>1343.77</v>
      </c>
      <c r="L5" s="11" t="n">
        <f aca="false">IF(ISNUMBER(케이스별_평균!$S$9),케이스별_평균!$S$9,"-")</f>
        <v>1306.56333333333</v>
      </c>
      <c r="M5" s="13" t="n">
        <f aca="false">IFERROR(IF(AND(ISNUMBER(케이스별_평균!$S$5),ISNUMBER(케이스별_평균!$S$9),케이스별_평균!$S$9&lt;&gt;0),(케이스별_평균!$S$5-케이스별_평균!$S$9)/케이스별_평균!$S$9,"-"),"-")</f>
        <v>0.0284767417831511</v>
      </c>
      <c r="N5" s="11" t="n">
        <f aca="false">IF(ISNUMBER(케이스별_평균!$T$5),케이스별_평균!$T$5,"-")</f>
        <v>1331.97333333333</v>
      </c>
      <c r="O5" s="11" t="n">
        <f aca="false">IF(ISNUMBER(케이스별_평균!$T$9),케이스별_평균!$T$9,"-")</f>
        <v>1288.82333333333</v>
      </c>
      <c r="P5" s="13" t="n">
        <f aca="false">IFERROR(IF(AND(ISNUMBER(케이스별_평균!$T$5),ISNUMBER(케이스별_평균!$T$9),케이스별_평균!$T$9&lt;&gt;0),(케이스별_평균!$T$5-케이스별_평균!$T$9)/케이스별_평균!$T$9,"-"),"-")</f>
        <v>0.0334801511456185</v>
      </c>
      <c r="Q5" s="11" t="n">
        <f aca="false">IF(ISNUMBER(케이스별_평균!$AD$5),케이스별_평균!$AD$5,"-")</f>
        <v>26.0273333333333</v>
      </c>
      <c r="R5" s="11" t="n">
        <f aca="false">IF(ISNUMBER(케이스별_평균!$AD$9),케이스별_평균!$AD$9,"-")</f>
        <v>20.289</v>
      </c>
      <c r="S5" s="13" t="n">
        <f aca="false">IFERROR(IF(AND(ISNUMBER(케이스별_평균!$AD$5),ISNUMBER(케이스별_평균!$AD$9),케이스별_평균!$AD$9&lt;&gt;0),(케이스별_평균!$AD$5-케이스별_평균!$AD$9)/케이스별_평균!$AD$9,"-"),"-")</f>
        <v>0.282829776397719</v>
      </c>
      <c r="T5" s="11" t="n">
        <f aca="false">IF(ISNUMBER(케이스별_평균!$AX$5),케이스별_평균!$AX$5,"-")</f>
        <v>1318.17666666667</v>
      </c>
      <c r="U5" s="11" t="n">
        <f aca="false">IF(ISNUMBER(케이스별_평균!$AX$9),케이스별_평균!$AX$9,"-")</f>
        <v>1546.06333333333</v>
      </c>
      <c r="V5" s="13" t="n">
        <f aca="false">IFERROR(IF(AND(ISNUMBER(케이스별_평균!$AX$5),ISNUMBER(케이스별_평균!$AX$9),케이스별_평균!$AX$9&lt;&gt;0),(케이스별_평균!$AX$5-케이스별_평균!$AX$9)/케이스별_평균!$AX$9,"-"),"-")</f>
        <v>-0.147398015174023</v>
      </c>
    </row>
    <row r="7" customFormat="false" ht="15" hidden="false" customHeight="false" outlineLevel="0" collapsed="false">
      <c r="A7" s="14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2026-08-08T07:36:32Z</dcterms:created>
  <dc:creator>openpyxl</dc:creator>
  <dc:description/>
  <dc:language>en-US</dc:language>
  <cp:lastModifiedBy/>
  <dcterms:modified xsi:type="dcterms:W3CDTF">2026-08-08T07:36:32Z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